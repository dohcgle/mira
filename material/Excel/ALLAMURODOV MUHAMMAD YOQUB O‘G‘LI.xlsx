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ЭтаКнига"/>
  <bookViews>
    <workbookView xWindow="-120" yWindow="-120" windowWidth="29040" windowHeight="15840" tabRatio="915" activeTab="1"/>
  </bookViews>
  <sheets>
    <sheet name="Протокол  (2)" sheetId="23" r:id="rId1"/>
    <sheet name="Общие данные" sheetId="1" r:id="rId2"/>
    <sheet name="Анкета Клиента" sheetId="4" r:id="rId3"/>
    <sheet name="Анкета 2" sheetId="22" r:id="rId4"/>
    <sheet name="Кредитная заявка" sheetId="2" r:id="rId5"/>
    <sheet name="Мажбуриятнома " sheetId="24" r:id="rId6"/>
    <sheet name="Заключение КК" sheetId="3" r:id="rId7"/>
    <sheet name="договор" sheetId="19" r:id="rId8"/>
    <sheet name="График" sheetId="16" r:id="rId9"/>
    <sheet name="заявление залогодателя" sheetId="31" r:id="rId10"/>
    <sheet name="Акт согласования" sheetId="7" r:id="rId11"/>
    <sheet name="Приказ на сделку" sheetId="8" r:id="rId12"/>
    <sheet name="График дифференц" sheetId="15" state="hidden" r:id="rId13"/>
    <sheet name="Данные для послед. Залога" sheetId="21" state="hidden" r:id="rId14"/>
    <sheet name="График аннуитет." sheetId="12" state="hidden" r:id="rId15"/>
    <sheet name="обложка" sheetId="9" r:id="rId16"/>
    <sheet name="Ариза Сугурта" sheetId="34" r:id="rId17"/>
    <sheet name="ariza HR" sheetId="32" r:id="rId18"/>
    <sheet name="Письмо" sheetId="20" state="hidden" r:id="rId19"/>
    <sheet name=" Акт мониторинга 1" sheetId="27" r:id="rId20"/>
    <sheet name=" Акт мониторинга 2" sheetId="26" r:id="rId21"/>
    <sheet name=" Акт мониторинга 3" sheetId="28" r:id="rId22"/>
    <sheet name=" Акт мониторинга 4" sheetId="29" r:id="rId23"/>
    <sheet name="Акт сверки" sheetId="35" r:id="rId24"/>
    <sheet name="notarius" sheetId="33" state="hidden" r:id="rId25"/>
  </sheets>
  <externalReferences>
    <externalReference r:id="rId26"/>
    <externalReference r:id="rId27"/>
    <externalReference r:id="rId28"/>
    <externalReference r:id="rId29"/>
  </externalReferences>
  <definedNames>
    <definedName name="mos" localSheetId="23">'[1]Общие данные'!$C$23:$D$23</definedName>
    <definedName name="mos" localSheetId="16">'[2]Общие данные'!$C$23:$D$23</definedName>
    <definedName name="mos">'[3]Общие данные'!$C$23:$D$23</definedName>
    <definedName name="mulk" localSheetId="23">'[1]Общие данные'!$C$24:$W$24</definedName>
    <definedName name="mulk" localSheetId="16">'[2]Общие данные'!$C$24:$W$24</definedName>
    <definedName name="mulk">'[3]Общие данные'!$C$24:$W$24</definedName>
    <definedName name="_xlnm.Print_Area" localSheetId="19">' Акт мониторинга 1'!$A$1:$H$34</definedName>
    <definedName name="_xlnm.Print_Area" localSheetId="20">' Акт мониторинга 2'!$A$1:$H$33</definedName>
    <definedName name="_xlnm.Print_Area" localSheetId="21">' Акт мониторинга 3'!$A$1:$H$33</definedName>
    <definedName name="_xlnm.Print_Area" localSheetId="22">' Акт мониторинга 4'!$A$1:$H$33</definedName>
    <definedName name="_xlnm.Print_Area" localSheetId="17">'ariza HR'!$A$1:$D$24</definedName>
    <definedName name="_xlnm.Print_Area" localSheetId="24">notarius!$A$1:$D$31</definedName>
    <definedName name="_xlnm.Print_Area" localSheetId="10">'Акт согласования'!$A$2:$E$67</definedName>
    <definedName name="_xlnm.Print_Area" localSheetId="2">'Анкета Клиента'!$A$1:$F$36</definedName>
    <definedName name="_xlnm.Print_Area" localSheetId="16">'Ариза Сугурта'!$A$1:$C$18</definedName>
    <definedName name="_xlnm.Print_Area" localSheetId="8">График!$A$1:$F$74</definedName>
    <definedName name="_xlnm.Print_Area" localSheetId="14">'График аннуитет.'!$A$1:$F$75</definedName>
    <definedName name="_xlnm.Print_Area" localSheetId="7">договор!$A$1:$B$133</definedName>
    <definedName name="_xlnm.Print_Area" localSheetId="6">'Заключение КК'!$A$1:$E$70</definedName>
    <definedName name="_xlnm.Print_Area" localSheetId="9">'заявление залогодателя'!$A$5:$C$26</definedName>
    <definedName name="_xlnm.Print_Area" localSheetId="4">'Кредитная заявка'!$A$1:$D$46</definedName>
    <definedName name="_xlnm.Print_Area" localSheetId="15">обложка!$A$1:$G$41</definedName>
    <definedName name="_xlnm.Print_Area" localSheetId="11">'Приказ на сделку'!$A$1:$E$29</definedName>
    <definedName name="_xlnm.Print_Area" localSheetId="0">'Протокол  (2)'!$A$1:$E$50</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2" i="7" l="1"/>
  <c r="E52" i="7" l="1"/>
  <c r="H22" i="29"/>
  <c r="A22" i="29"/>
  <c r="H22" i="28"/>
  <c r="A22" i="28"/>
  <c r="H22" i="26"/>
  <c r="A22" i="26"/>
  <c r="H22" i="27"/>
  <c r="A22" i="27"/>
  <c r="E50" i="3" l="1"/>
  <c r="A50" i="3"/>
  <c r="A52" i="7" l="1"/>
  <c r="C23" i="31"/>
  <c r="A23" i="31"/>
  <c r="C7" i="31"/>
  <c r="A72" i="16"/>
  <c r="A71" i="16"/>
  <c r="D2" i="2"/>
  <c r="C1" i="2"/>
  <c r="A43" i="2"/>
  <c r="D43" i="2"/>
  <c r="D27" i="8" l="1"/>
  <c r="C1" i="32" l="1"/>
  <c r="D20" i="32"/>
  <c r="A20" i="32"/>
  <c r="A123" i="19"/>
  <c r="D67" i="3"/>
  <c r="A41" i="23"/>
  <c r="D41" i="23"/>
  <c r="B23" i="32"/>
  <c r="C2" i="32" l="1"/>
  <c r="A21" i="4" l="1"/>
  <c r="A20" i="4"/>
  <c r="B47" i="1"/>
  <c r="D55" i="3" l="1"/>
  <c r="A55" i="3"/>
  <c r="A49" i="23"/>
  <c r="D49" i="23"/>
  <c r="A48" i="23" l="1"/>
  <c r="D48" i="23"/>
  <c r="D59" i="7" l="1"/>
  <c r="A9" i="24"/>
  <c r="A7" i="24"/>
  <c r="A4" i="34" l="1"/>
  <c r="B40" i="1" l="1"/>
  <c r="B33" i="1"/>
  <c r="A126" i="19"/>
  <c r="A70" i="16" s="1"/>
  <c r="B128" i="19"/>
  <c r="D71" i="16" s="1"/>
  <c r="A124" i="19"/>
  <c r="B155" i="1" l="1"/>
  <c r="B76" i="1"/>
  <c r="B143" i="1"/>
  <c r="B144" i="1" l="1"/>
  <c r="E30" i="7" s="1"/>
  <c r="B77" i="1"/>
  <c r="C75" i="1"/>
  <c r="D75" i="1" s="1"/>
  <c r="A48" i="7" l="1"/>
  <c r="C8" i="31"/>
  <c r="A7" i="3"/>
  <c r="A130" i="19"/>
  <c r="A128" i="19"/>
  <c r="A28" i="31" l="1"/>
  <c r="A29" i="31"/>
  <c r="A30" i="31" s="1"/>
  <c r="A32" i="31" s="1"/>
  <c r="A26" i="31"/>
  <c r="A20" i="31" l="1"/>
  <c r="B64" i="7" s="1"/>
  <c r="A19" i="31" l="1"/>
  <c r="A63" i="7"/>
  <c r="D63" i="7"/>
  <c r="A16" i="33" l="1"/>
  <c r="A15" i="33"/>
  <c r="A14" i="33"/>
  <c r="A13" i="33"/>
  <c r="D12" i="33"/>
  <c r="C12" i="33"/>
  <c r="B12" i="33"/>
  <c r="A12" i="33"/>
  <c r="D11" i="33"/>
  <c r="C11" i="33"/>
  <c r="B11" i="33"/>
  <c r="A9" i="33"/>
  <c r="A7" i="33"/>
  <c r="A6" i="33"/>
  <c r="C19" i="31" l="1"/>
  <c r="C6" i="31" l="1"/>
  <c r="A15" i="31"/>
  <c r="C10" i="31"/>
  <c r="C9" i="31"/>
  <c r="C87" i="1" l="1"/>
  <c r="B87" i="1"/>
  <c r="B83" i="1"/>
  <c r="H31" i="26" l="1"/>
  <c r="H31" i="27"/>
  <c r="H27" i="27"/>
  <c r="A27" i="27"/>
  <c r="D59" i="3"/>
  <c r="D63" i="3"/>
  <c r="A63" i="3"/>
  <c r="A59" i="3"/>
  <c r="D45" i="23"/>
  <c r="A45" i="23"/>
  <c r="B34" i="1" l="1"/>
  <c r="B27" i="1"/>
  <c r="B9" i="1"/>
  <c r="B8" i="1"/>
  <c r="B10" i="1" s="1"/>
  <c r="B12" i="1" l="1"/>
  <c r="B11" i="1"/>
  <c r="B13" i="1" s="1"/>
  <c r="H9" i="23"/>
  <c r="A122" i="19"/>
  <c r="A16" i="32"/>
  <c r="B11" i="32"/>
  <c r="B12" i="32"/>
  <c r="B13" i="32"/>
  <c r="B14" i="32"/>
  <c r="B10" i="32"/>
  <c r="A11" i="32"/>
  <c r="A12" i="32"/>
  <c r="A13" i="32"/>
  <c r="A14" i="32"/>
  <c r="A10" i="32"/>
  <c r="C5" i="32"/>
  <c r="C4" i="32"/>
  <c r="B134" i="1" l="1"/>
  <c r="B156" i="1" l="1"/>
  <c r="B145" i="1" l="1"/>
  <c r="A14" i="23"/>
  <c r="A9" i="32" l="1"/>
  <c r="B65" i="1"/>
  <c r="A6" i="8" s="1"/>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C123" i="1"/>
  <c r="C129" i="1" s="1"/>
  <c r="C121" i="1"/>
  <c r="C127" i="1" s="1"/>
  <c r="C120" i="1"/>
  <c r="C126" i="1" s="1"/>
  <c r="C119" i="1"/>
  <c r="C125" i="1" s="1"/>
  <c r="C118" i="1"/>
  <c r="C124" i="1" s="1"/>
  <c r="A62" i="7"/>
  <c r="A61" i="7"/>
  <c r="F61" i="7"/>
  <c r="A25" i="7"/>
  <c r="A23" i="7"/>
  <c r="A15" i="19" l="1"/>
  <c r="A7" i="23"/>
  <c r="A31" i="4"/>
  <c r="A14" i="31"/>
  <c r="A45" i="15"/>
  <c r="A54" i="12"/>
  <c r="A75" i="1"/>
  <c r="A34" i="23"/>
  <c r="A9" i="26"/>
  <c r="A9" i="29" s="1"/>
  <c r="A46" i="15" l="1"/>
  <c r="A55" i="12"/>
  <c r="A9" i="27"/>
  <c r="A9" i="28"/>
  <c r="I133" i="1"/>
  <c r="A47" i="3"/>
  <c r="A35" i="3"/>
  <c r="E30" i="3"/>
  <c r="A30" i="3"/>
  <c r="A33" i="3"/>
  <c r="A47" i="15" l="1"/>
  <c r="D29" i="7"/>
  <c r="D30" i="3" s="1"/>
  <c r="F137" i="1"/>
  <c r="E140" i="1"/>
  <c r="E137" i="1"/>
  <c r="D20" i="7"/>
  <c r="E20" i="7"/>
  <c r="G9" i="26" s="1"/>
  <c r="B20" i="7"/>
  <c r="A48" i="15" l="1"/>
  <c r="G9" i="28"/>
  <c r="G9" i="27"/>
  <c r="G9" i="29"/>
  <c r="B29" i="7"/>
  <c r="B30" i="3" s="1"/>
  <c r="C9" i="26"/>
  <c r="C29" i="7"/>
  <c r="C30" i="3" s="1"/>
  <c r="E9" i="26"/>
  <c r="A49" i="15" l="1"/>
  <c r="E9" i="29"/>
  <c r="E9" i="28"/>
  <c r="E9" i="27"/>
  <c r="C9" i="29"/>
  <c r="C9" i="28"/>
  <c r="C9" i="27"/>
  <c r="A50" i="15" l="1"/>
  <c r="H27" i="29"/>
  <c r="H27" i="28"/>
  <c r="H27" i="26"/>
  <c r="A52" i="3"/>
  <c r="A36" i="3"/>
  <c r="A1" i="3"/>
  <c r="D15" i="23"/>
  <c r="E15" i="23" s="1"/>
  <c r="A1" i="23"/>
  <c r="D70" i="16"/>
  <c r="A51" i="15" l="1"/>
  <c r="A117" i="1"/>
  <c r="A116" i="1"/>
  <c r="A115" i="1"/>
  <c r="A114" i="1"/>
  <c r="C22" i="1"/>
  <c r="A16" i="23"/>
  <c r="A69" i="16"/>
  <c r="A52" i="15" l="1"/>
  <c r="B49" i="1"/>
  <c r="B59" i="1" l="1"/>
  <c r="A8" i="3"/>
  <c r="A53" i="15"/>
  <c r="A16" i="4"/>
  <c r="A17" i="4"/>
  <c r="B119" i="19"/>
  <c r="B123" i="1"/>
  <c r="B129" i="1" s="1"/>
  <c r="A24" i="7" s="1"/>
  <c r="A34" i="3" s="1"/>
  <c r="B121" i="1"/>
  <c r="B120" i="1"/>
  <c r="B119" i="1"/>
  <c r="B118" i="1"/>
  <c r="A54" i="15" l="1"/>
  <c r="B45" i="1"/>
  <c r="B58" i="1"/>
  <c r="A51" i="7"/>
  <c r="C77" i="1"/>
  <c r="A9" i="2" l="1"/>
  <c r="A19" i="4"/>
  <c r="A55" i="15"/>
  <c r="A31" i="2"/>
  <c r="H79" i="19"/>
  <c r="A79" i="19" s="1"/>
  <c r="H21" i="19"/>
  <c r="A74" i="19"/>
  <c r="H70" i="19"/>
  <c r="A70" i="19" s="1"/>
  <c r="A57" i="19"/>
  <c r="A5" i="23"/>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A33" i="23" l="1"/>
  <c r="A29" i="2"/>
  <c r="A23" i="8"/>
  <c r="A23" i="19"/>
  <c r="C31" i="19"/>
  <c r="B130" i="19"/>
  <c r="A24" i="23"/>
  <c r="E31" i="19"/>
  <c r="D31" i="19" s="1"/>
  <c r="A59"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65" i="16" s="1"/>
  <c r="A30" i="4"/>
  <c r="B122" i="19"/>
  <c r="D67" i="16" s="1"/>
  <c r="A15" i="4"/>
  <c r="A14" i="4"/>
  <c r="A13" i="4"/>
  <c r="C8" i="15"/>
  <c r="J12" i="15"/>
  <c r="A10" i="4" l="1"/>
  <c r="A9" i="4" s="1"/>
  <c r="B124" i="19"/>
  <c r="D69" i="16" s="1"/>
  <c r="B123" i="19"/>
  <c r="D68" i="16" s="1"/>
  <c r="D64" i="16"/>
  <c r="B117" i="19"/>
  <c r="D63" i="16" s="1"/>
  <c r="A68" i="16" l="1"/>
  <c r="A67" i="16"/>
  <c r="A121" i="19"/>
  <c r="A66" i="16" s="1"/>
  <c r="A119" i="19"/>
  <c r="A64" i="16" s="1"/>
  <c r="B24" i="9" l="1"/>
  <c r="B2" i="9"/>
  <c r="H5" i="29"/>
  <c r="H5" i="28"/>
  <c r="H5" i="27"/>
  <c r="D2" i="1"/>
  <c r="H5" i="26" s="1"/>
  <c r="A35" i="2"/>
  <c r="A29" i="4"/>
  <c r="A28" i="4"/>
  <c r="A7" i="4"/>
  <c r="A11" i="24"/>
  <c r="A14" i="7"/>
  <c r="A13" i="7"/>
  <c r="A2" i="7"/>
  <c r="A5" i="3"/>
  <c r="A4" i="3"/>
  <c r="A9" i="8"/>
  <c r="A8" i="8"/>
  <c r="A7" i="8"/>
  <c r="A12" i="2"/>
  <c r="A7" i="2"/>
  <c r="B175" i="1"/>
  <c r="H133" i="1"/>
  <c r="I132" i="1"/>
  <c r="F132" i="1" s="1"/>
  <c r="H132" i="1"/>
  <c r="C132" i="1"/>
  <c r="B140" i="1"/>
  <c r="E21" i="7" s="1"/>
  <c r="B137" i="1"/>
  <c r="D21" i="7" s="1"/>
  <c r="E10" i="26" s="1"/>
  <c r="B21" i="7"/>
  <c r="C10" i="26" s="1"/>
  <c r="G10" i="26" l="1"/>
  <c r="D30" i="7"/>
  <c r="D31" i="3" s="1"/>
  <c r="E10" i="28"/>
  <c r="E10" i="27"/>
  <c r="E10" i="29"/>
  <c r="C10" i="28"/>
  <c r="C10" i="27"/>
  <c r="C10" i="29"/>
  <c r="C133" i="1"/>
  <c r="A17" i="7" s="1"/>
  <c r="A21" i="7"/>
  <c r="A10" i="26" s="1"/>
  <c r="C144" i="1"/>
  <c r="A6" i="2"/>
  <c r="E31" i="3"/>
  <c r="A15" i="7"/>
  <c r="E132" i="1"/>
  <c r="A27" i="3"/>
  <c r="A27" i="2"/>
  <c r="A28" i="2"/>
  <c r="F133" i="1"/>
  <c r="E133" i="1"/>
  <c r="A24" i="2" l="1"/>
  <c r="A28" i="3"/>
  <c r="A15" i="8"/>
  <c r="G10" i="28"/>
  <c r="G10" i="29"/>
  <c r="G10" i="27"/>
  <c r="A14" i="8"/>
  <c r="A25" i="2"/>
  <c r="A16" i="7"/>
  <c r="A18" i="7" s="1"/>
  <c r="A19" i="7" s="1"/>
  <c r="A29" i="3"/>
  <c r="A25" i="23" s="1"/>
  <c r="A37" i="3"/>
  <c r="A10" i="2" l="1"/>
  <c r="B66" i="1" l="1"/>
  <c r="A1" i="19" s="1"/>
  <c r="H31" i="29"/>
  <c r="H31" i="28"/>
  <c r="D56" i="7" l="1"/>
  <c r="A56" i="7"/>
  <c r="A132" i="19"/>
  <c r="B109" i="1"/>
  <c r="R131" i="1" l="1"/>
  <c r="R132" i="1" s="1"/>
  <c r="N133" i="1" s="1"/>
  <c r="Q131" i="1"/>
  <c r="Q132" i="1" s="1"/>
  <c r="N132" i="1" s="1"/>
  <c r="B24" i="4" l="1"/>
  <c r="B67" i="1" l="1"/>
  <c r="C79" i="1" s="1"/>
  <c r="C80" i="1" s="1"/>
  <c r="C81" i="1" s="1"/>
  <c r="B80" i="1" s="1"/>
  <c r="B81" i="1" s="1"/>
  <c r="A13" i="31" s="1"/>
  <c r="B152" i="1" l="1"/>
  <c r="B150" i="1"/>
  <c r="C18" i="1" l="1"/>
  <c r="B20" i="1" l="1"/>
  <c r="B121" i="19" s="1"/>
  <c r="C20" i="1"/>
  <c r="A5" i="19" s="1"/>
  <c r="C122" i="1" l="1"/>
  <c r="C128" i="1" s="1"/>
  <c r="C6" i="32"/>
  <c r="B122" i="1"/>
  <c r="B128" i="1" s="1"/>
  <c r="D65" i="16"/>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A11" i="2" l="1"/>
  <c r="A20" i="3"/>
  <c r="C19" i="1"/>
  <c r="A33" i="20"/>
  <c r="B21" i="1" l="1"/>
  <c r="A6" i="3" s="1"/>
  <c r="C21" i="1"/>
  <c r="B8" i="15"/>
  <c r="C5" i="22"/>
  <c r="A33" i="22" s="1"/>
  <c r="R43" i="15" l="1"/>
  <c r="O43" i="15" s="1"/>
  <c r="P43" i="15" s="1"/>
  <c r="Q43" i="15" s="1"/>
  <c r="B43" i="15" s="1"/>
  <c r="R44" i="15"/>
  <c r="R45" i="15"/>
  <c r="R46" i="15"/>
  <c r="R47" i="15"/>
  <c r="O47" i="15" s="1"/>
  <c r="P47" i="15" s="1"/>
  <c r="Q47" i="15" s="1"/>
  <c r="B47" i="15" s="1"/>
  <c r="R48" i="15"/>
  <c r="O48" i="15" s="1"/>
  <c r="P48" i="15" s="1"/>
  <c r="Q48" i="15" s="1"/>
  <c r="B48" i="15" s="1"/>
  <c r="R49" i="15"/>
  <c r="R50" i="15"/>
  <c r="R51" i="15"/>
  <c r="R52" i="15"/>
  <c r="R53" i="15"/>
  <c r="R54" i="15"/>
  <c r="R55" i="15"/>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B48" i="12"/>
  <c r="G48" i="15"/>
  <c r="H48" i="15"/>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9" i="12" l="1"/>
  <c r="H49" i="15"/>
  <c r="G49" i="15"/>
  <c r="B50" i="12"/>
  <c r="H50" i="15"/>
  <c r="G50" i="15"/>
  <c r="B45" i="12"/>
  <c r="H45" i="15"/>
  <c r="G45" i="15"/>
  <c r="B53" i="12"/>
  <c r="G53" i="15"/>
  <c r="H53" i="15"/>
  <c r="B46" i="12"/>
  <c r="H46" i="15"/>
  <c r="G46" i="15"/>
  <c r="G47" i="15"/>
  <c r="B52" i="12"/>
  <c r="H52" i="15"/>
  <c r="G52" i="15"/>
  <c r="B44" i="12"/>
  <c r="G44" i="12" s="1"/>
  <c r="H44" i="15"/>
  <c r="G44" i="15"/>
  <c r="B49" i="16"/>
  <c r="G48" i="12"/>
  <c r="H48" i="12"/>
  <c r="B51" i="12"/>
  <c r="H51" i="15"/>
  <c r="G51" i="15"/>
  <c r="B54" i="12"/>
  <c r="G54" i="15"/>
  <c r="H54" i="15"/>
  <c r="H47" i="12"/>
  <c r="B48" i="16"/>
  <c r="B55" i="12"/>
  <c r="H55" i="15"/>
  <c r="G55"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B55" i="16" l="1"/>
  <c r="H54" i="12"/>
  <c r="G54" i="12"/>
  <c r="H46" i="12"/>
  <c r="G46" i="12"/>
  <c r="B47" i="16"/>
  <c r="B52" i="16"/>
  <c r="G51" i="12"/>
  <c r="H51" i="12"/>
  <c r="H53" i="12"/>
  <c r="G53" i="12"/>
  <c r="B54" i="16"/>
  <c r="B45" i="16"/>
  <c r="H44" i="12"/>
  <c r="H50" i="12"/>
  <c r="B51" i="16"/>
  <c r="G50" i="12"/>
  <c r="B46" i="16"/>
  <c r="G45" i="12"/>
  <c r="H45" i="12"/>
  <c r="G55" i="12"/>
  <c r="B56" i="16"/>
  <c r="H55" i="12"/>
  <c r="G47" i="12"/>
  <c r="G52" i="12"/>
  <c r="B53" i="16"/>
  <c r="H52" i="12"/>
  <c r="B50" i="16"/>
  <c r="H49" i="12"/>
  <c r="G49" i="12"/>
  <c r="G32" i="12"/>
  <c r="B32" i="16"/>
  <c r="H41" i="12"/>
  <c r="G41" i="12"/>
  <c r="G42" i="12"/>
  <c r="G10" i="15"/>
  <c r="H10" i="15"/>
  <c r="H9" i="15"/>
  <c r="G13" i="15"/>
  <c r="G12" i="15"/>
  <c r="H12" i="15"/>
  <c r="H11" i="15"/>
  <c r="G11" i="15"/>
  <c r="I67" i="1"/>
  <c r="G67" i="1"/>
  <c r="A117" i="19" l="1"/>
  <c r="A63"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B70" i="1"/>
  <c r="A6" i="34" s="1"/>
  <c r="E3" i="22"/>
  <c r="B71" i="1"/>
  <c r="A8" i="19" s="1"/>
  <c r="A4" i="35" l="1"/>
  <c r="A7" i="29"/>
  <c r="A8" i="7"/>
  <c r="A7" i="28"/>
  <c r="A7" i="26"/>
  <c r="A7" i="27"/>
  <c r="A12" i="7"/>
  <c r="A11" i="7"/>
  <c r="A9" i="7"/>
  <c r="B3" i="34"/>
  <c r="E3" i="16"/>
  <c r="A3" i="19"/>
  <c r="B176" i="1"/>
  <c r="A2" i="8" s="1"/>
  <c r="A28" i="7"/>
  <c r="A27" i="7"/>
  <c r="B19" i="9"/>
  <c r="A2" i="27"/>
  <c r="A2" i="28"/>
  <c r="A2" i="29"/>
  <c r="A2" i="26"/>
  <c r="B149" i="1"/>
  <c r="E4" i="7" s="1"/>
  <c r="A39" i="20"/>
  <c r="B40" i="9"/>
  <c r="A19" i="2"/>
  <c r="D72" i="15"/>
  <c r="A70" i="15"/>
  <c r="A68" i="15"/>
  <c r="D64" i="15"/>
  <c r="D60" i="15"/>
  <c r="A60" i="15"/>
  <c r="A23" i="23" l="1"/>
  <c r="A12" i="8"/>
  <c r="A7" i="7"/>
  <c r="A10" i="7"/>
  <c r="A26" i="7"/>
  <c r="A15" i="3"/>
  <c r="H27" i="15"/>
  <c r="G27" i="15"/>
  <c r="G28" i="15"/>
  <c r="H28" i="15"/>
  <c r="G30" i="15"/>
  <c r="G31" i="15"/>
  <c r="H30" i="15"/>
  <c r="G29" i="15"/>
  <c r="H29" i="15"/>
  <c r="G26" i="15"/>
  <c r="H26" i="15"/>
  <c r="H24" i="15"/>
  <c r="G24" i="15"/>
  <c r="G25" i="15"/>
  <c r="A6" i="7" l="1"/>
  <c r="F2" i="15"/>
  <c r="B62" i="1" l="1"/>
  <c r="D67" i="15" l="1"/>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72" i="12"/>
  <c r="A70" i="12"/>
  <c r="A68" i="12"/>
  <c r="D64" i="12"/>
  <c r="D60" i="12"/>
  <c r="A60"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63" i="15" l="1"/>
  <c r="A67" i="15"/>
  <c r="A72" i="15"/>
  <c r="D74" i="15"/>
  <c r="A62" i="15"/>
  <c r="A66" i="15"/>
  <c r="A65" i="15"/>
  <c r="A64" i="15"/>
  <c r="D63" i="15"/>
  <c r="D70" i="15"/>
  <c r="D62" i="15"/>
  <c r="A72" i="12"/>
  <c r="A66" i="12"/>
  <c r="A63" i="12"/>
  <c r="A67" i="12"/>
  <c r="A64" i="12"/>
  <c r="A13" i="3"/>
  <c r="A40" i="3" s="1"/>
  <c r="A65" i="12"/>
  <c r="D68" i="12"/>
  <c r="D66" i="12"/>
  <c r="D67" i="12"/>
  <c r="D63" i="12"/>
  <c r="D70" i="12"/>
  <c r="D62" i="12"/>
  <c r="A62"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L9" i="15" l="1"/>
  <c r="E9" i="15" s="1"/>
  <c r="D10" i="15"/>
  <c r="J13" i="15"/>
  <c r="K13" i="15" s="1"/>
  <c r="I13" i="15" s="1"/>
  <c r="I14" i="15" s="1"/>
  <c r="I15" i="15" s="1"/>
  <c r="I16" i="15" s="1"/>
  <c r="I17" i="15" s="1"/>
  <c r="I18" i="15" s="1"/>
  <c r="L10" i="15"/>
  <c r="E10" i="15" s="1"/>
  <c r="J15" i="15" l="1"/>
  <c r="K15" i="15" s="1"/>
  <c r="J19" i="15"/>
  <c r="K19" i="15" s="1"/>
  <c r="I19" i="15" s="1"/>
  <c r="J20" i="15" s="1"/>
  <c r="K20" i="15" s="1"/>
  <c r="J18" i="15"/>
  <c r="K18" i="15" s="1"/>
  <c r="J17" i="15"/>
  <c r="K17" i="15" s="1"/>
  <c r="J16" i="15"/>
  <c r="K16" i="15" s="1"/>
  <c r="J14" i="15"/>
  <c r="K14" i="15" s="1"/>
  <c r="M9" i="15"/>
  <c r="F9" i="15" s="1"/>
  <c r="C11" i="15"/>
  <c r="D11" i="15" s="1"/>
  <c r="M10" i="15"/>
  <c r="F10" i="15" s="1"/>
  <c r="I20" i="15" l="1"/>
  <c r="I21" i="15" s="1"/>
  <c r="C12" i="15"/>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M22" i="15"/>
  <c r="F22" i="15" s="1"/>
  <c r="D23" i="15"/>
  <c r="C24" i="15" s="1"/>
  <c r="L24" i="15" s="1"/>
  <c r="E24" i="15" s="1"/>
  <c r="I46" i="15" l="1"/>
  <c r="J46" i="15"/>
  <c r="K46" i="15" s="1"/>
  <c r="M23" i="15"/>
  <c r="F23" i="15" s="1"/>
  <c r="D24" i="15"/>
  <c r="J47" i="15" l="1"/>
  <c r="K47" i="15" s="1"/>
  <c r="I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J54" i="15" l="1"/>
  <c r="K54" i="15" s="1"/>
  <c r="I54" i="15"/>
  <c r="J55" i="15" s="1"/>
  <c r="K55" i="15" s="1"/>
  <c r="I55"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l="1"/>
  <c r="E43" i="15" s="1"/>
  <c r="M42" i="15"/>
  <c r="F42" i="15" s="1"/>
  <c r="D43" i="15" l="1"/>
  <c r="M43" i="15" s="1"/>
  <c r="F43" i="15" s="1"/>
  <c r="C44" i="15" l="1"/>
  <c r="L44" i="15" s="1"/>
  <c r="D44" i="15" s="1"/>
  <c r="C45" i="15" l="1"/>
  <c r="E44" i="15"/>
  <c r="L45" i="15" l="1"/>
  <c r="D45" i="15" s="1"/>
  <c r="M44" i="15"/>
  <c r="F44" i="15" s="1"/>
  <c r="C46" i="15" l="1"/>
  <c r="E45" i="15"/>
  <c r="L46" i="15" l="1"/>
  <c r="D46" i="15" s="1"/>
  <c r="C47" i="15" s="1"/>
  <c r="M45" i="15"/>
  <c r="F45" i="15" s="1"/>
  <c r="L47" i="15" l="1"/>
  <c r="D47" i="15" s="1"/>
  <c r="C48" i="15" s="1"/>
  <c r="E46" i="15"/>
  <c r="M46" i="15" l="1"/>
  <c r="F46" i="15" s="1"/>
  <c r="L48" i="15"/>
  <c r="D48" i="15" s="1"/>
  <c r="C49" i="15" s="1"/>
  <c r="E47" i="15"/>
  <c r="M47" i="15" l="1"/>
  <c r="F47" i="15" s="1"/>
  <c r="E48" i="15"/>
  <c r="M48" i="15" s="1"/>
  <c r="F48" i="15" s="1"/>
  <c r="L49" i="15"/>
  <c r="D49" i="15" s="1"/>
  <c r="C50" i="15" s="1"/>
  <c r="L50" i="15" l="1"/>
  <c r="D50" i="15" s="1"/>
  <c r="C51" i="15" s="1"/>
  <c r="E49" i="15"/>
  <c r="E50" i="15" l="1"/>
  <c r="M50" i="15" s="1"/>
  <c r="F50" i="15" s="1"/>
  <c r="M49" i="15"/>
  <c r="F49" i="15" s="1"/>
  <c r="L51" i="15"/>
  <c r="E51" i="15" s="1"/>
  <c r="D51" i="15" l="1"/>
  <c r="C52" i="15" s="1"/>
  <c r="L52" i="15" s="1"/>
  <c r="D52" i="15" s="1"/>
  <c r="C53" i="15" s="1"/>
  <c r="M51" i="15" l="1"/>
  <c r="F51" i="15" s="1"/>
  <c r="E52" i="15"/>
  <c r="M52" i="15" s="1"/>
  <c r="F52" i="15" s="1"/>
  <c r="L53" i="15"/>
  <c r="E53" i="15" s="1"/>
  <c r="D53" i="15" l="1"/>
  <c r="M53" i="15" s="1"/>
  <c r="F53" i="15" s="1"/>
  <c r="C54" i="15" l="1"/>
  <c r="L54" i="15" s="1"/>
  <c r="D54" i="15" s="1"/>
  <c r="C55" i="15" s="1"/>
  <c r="L55" i="15" l="1"/>
  <c r="E55" i="15" s="1"/>
  <c r="E54" i="15"/>
  <c r="D55" i="15" l="1"/>
  <c r="M55" i="15" s="1"/>
  <c r="F55" i="15" s="1"/>
  <c r="E56" i="15"/>
  <c r="M54" i="15"/>
  <c r="F54" i="15" s="1"/>
  <c r="D56" i="15" l="1"/>
  <c r="F56" i="15"/>
  <c r="A10" i="27" l="1"/>
  <c r="A10" i="28"/>
  <c r="A10" i="29"/>
  <c r="D14" i="16" l="1"/>
  <c r="E15" i="16" l="1"/>
  <c r="D15" i="16" l="1"/>
  <c r="C16" i="16" l="1"/>
  <c r="E16" i="16" l="1"/>
  <c r="D16" i="16" l="1"/>
  <c r="C17" i="16" l="1"/>
  <c r="E17" i="16" l="1"/>
  <c r="D17" i="16" l="1"/>
  <c r="C18" i="16" l="1"/>
  <c r="E18" i="16" l="1"/>
  <c r="D18" i="16" l="1"/>
  <c r="C19" i="16" l="1"/>
  <c r="E19" i="16" l="1"/>
  <c r="D19" i="16" l="1"/>
  <c r="C20" i="16" l="1"/>
  <c r="E20" i="16" l="1"/>
  <c r="D20" i="16" l="1"/>
  <c r="C21" i="16" l="1"/>
  <c r="E21" i="16" l="1"/>
  <c r="D21" i="16" l="1"/>
  <c r="C22" i="16" l="1"/>
  <c r="E22" i="16" l="1"/>
  <c r="D22" i="16" l="1"/>
  <c r="C23" i="16" l="1"/>
  <c r="E23" i="16" l="1"/>
  <c r="D23" i="16" l="1"/>
  <c r="C24" i="16" l="1"/>
  <c r="E24" i="16" l="1"/>
  <c r="D24" i="16" l="1"/>
  <c r="C25" i="16" l="1"/>
  <c r="E25" i="16" l="1"/>
  <c r="D25" i="16" l="1"/>
  <c r="C26" i="16" l="1"/>
  <c r="C27" i="16" l="1"/>
  <c r="D26" i="16"/>
  <c r="F26" i="16" l="1"/>
  <c r="C28" i="16"/>
  <c r="D27" i="16"/>
  <c r="C29" i="16" l="1"/>
  <c r="D28" i="16"/>
  <c r="D29" i="16" l="1"/>
  <c r="C30" i="16" l="1"/>
  <c r="D30" i="16" l="1"/>
  <c r="C31" i="16"/>
  <c r="C32" i="16" l="1"/>
  <c r="D31" i="16"/>
  <c r="C33" i="16" l="1"/>
  <c r="D32" i="16"/>
  <c r="D33" i="16" l="1"/>
  <c r="C34" i="16"/>
  <c r="C35" i="16" l="1"/>
  <c r="D34" i="16"/>
  <c r="D35" i="16" l="1"/>
  <c r="C36" i="16" l="1"/>
  <c r="D36" i="16" l="1"/>
  <c r="C37" i="16" l="1"/>
  <c r="D37" i="16" l="1"/>
  <c r="C38" i="16" l="1"/>
  <c r="D38" i="16" l="1"/>
  <c r="C39" i="16" l="1"/>
  <c r="C40" i="16" l="1"/>
  <c r="D39" i="16"/>
  <c r="D40" i="16" l="1"/>
  <c r="C41" i="16"/>
  <c r="D41" i="16" l="1"/>
  <c r="C42" i="16" l="1"/>
  <c r="C43" i="16" l="1"/>
  <c r="D42" i="16"/>
  <c r="C44" i="16" l="1"/>
  <c r="D43" i="16"/>
  <c r="C45" i="16" l="1"/>
  <c r="D44" i="16"/>
  <c r="D45" i="16" l="1"/>
  <c r="C46" i="16"/>
  <c r="C47" i="16" l="1"/>
  <c r="D46" i="16"/>
  <c r="D47" i="16" l="1"/>
  <c r="C48" i="16" l="1"/>
  <c r="D48" i="16" l="1"/>
  <c r="C49" i="16"/>
  <c r="C50" i="16" l="1"/>
  <c r="D49" i="16"/>
  <c r="D50" i="16" l="1"/>
  <c r="C51" i="16" l="1"/>
  <c r="D51" i="16" l="1"/>
  <c r="C52" i="16" l="1"/>
  <c r="C53" i="16" l="1"/>
  <c r="D52" i="16"/>
  <c r="C54" i="16" l="1"/>
  <c r="D53" i="16"/>
  <c r="D54" i="16" l="1"/>
  <c r="C55" i="16"/>
  <c r="C56" i="16" l="1"/>
  <c r="D55" i="16"/>
  <c r="E56" i="16" l="1"/>
  <c r="D56" i="16"/>
  <c r="F56" i="16" l="1"/>
  <c r="D9" i="16"/>
  <c r="D10" i="16"/>
  <c r="D11" i="16"/>
  <c r="D12" i="16"/>
  <c r="D13" i="16"/>
  <c r="F9" i="16"/>
  <c r="F10" i="16"/>
  <c r="F11" i="16"/>
  <c r="F12" i="16"/>
  <c r="F13" i="16"/>
  <c r="F14" i="16"/>
  <c r="F15" i="16"/>
  <c r="F16" i="16"/>
  <c r="F17" i="16"/>
  <c r="F18" i="16"/>
  <c r="F19" i="16"/>
  <c r="F20" i="16"/>
  <c r="F21" i="16"/>
  <c r="F22" i="16"/>
  <c r="F23" i="16"/>
  <c r="F24" i="16"/>
  <c r="F25" i="16"/>
  <c r="E10" i="16"/>
  <c r="F55" i="16"/>
  <c r="E55" i="16"/>
  <c r="F54" i="16"/>
  <c r="F53" i="16"/>
  <c r="E54" i="16"/>
  <c r="F52" i="16"/>
  <c r="E53" i="16"/>
  <c r="E52" i="16"/>
  <c r="F51" i="16"/>
  <c r="E51" i="16"/>
  <c r="F50" i="16"/>
  <c r="F49" i="16"/>
  <c r="E50" i="16"/>
  <c r="F48" i="16"/>
  <c r="E49" i="16"/>
  <c r="E48" i="16"/>
  <c r="F47" i="16"/>
  <c r="F46" i="16"/>
  <c r="E47" i="16"/>
  <c r="F45" i="16"/>
  <c r="E46" i="16"/>
  <c r="F44" i="16"/>
  <c r="E45" i="16"/>
  <c r="F43" i="16"/>
  <c r="E44" i="16"/>
  <c r="F42" i="16"/>
  <c r="E43" i="16"/>
  <c r="E42" i="16"/>
  <c r="F41" i="16"/>
  <c r="F40" i="16"/>
  <c r="E41" i="16"/>
  <c r="F39" i="16"/>
  <c r="E40" i="16"/>
  <c r="E39" i="16"/>
  <c r="F38" i="16"/>
  <c r="E38" i="16"/>
  <c r="F37" i="16"/>
  <c r="E37" i="16"/>
  <c r="F36" i="16"/>
  <c r="E36" i="16"/>
  <c r="F35" i="16"/>
  <c r="F34" i="16"/>
  <c r="E35" i="16"/>
  <c r="F33" i="16"/>
  <c r="E34" i="16"/>
  <c r="F32" i="16"/>
  <c r="E33" i="16"/>
  <c r="F31" i="16"/>
  <c r="E32" i="16"/>
  <c r="F30" i="16"/>
  <c r="E31" i="16"/>
  <c r="E30" i="16"/>
  <c r="F29" i="16"/>
  <c r="F28" i="16"/>
  <c r="E29" i="16"/>
  <c r="F27" i="16"/>
  <c r="E28" i="16"/>
  <c r="E27" i="16"/>
  <c r="E26" i="16"/>
  <c r="E11" i="16"/>
  <c r="E12" i="16"/>
  <c r="E13" i="16"/>
  <c r="E14" i="16"/>
  <c r="C15" i="16"/>
  <c r="C14" i="16"/>
  <c r="C13" i="16"/>
  <c r="C12" i="16"/>
  <c r="C11" i="16"/>
  <c r="C10" i="16"/>
  <c r="D57" i="16" l="1"/>
  <c r="F57" i="16"/>
  <c r="E57" i="16"/>
  <c r="B91" i="1"/>
  <c r="F8" i="12" s="1"/>
  <c r="C63" i="1"/>
  <c r="C60" i="1" s="1"/>
  <c r="D8" i="12" l="1"/>
  <c r="C9" i="12" s="1"/>
  <c r="F9" i="12"/>
  <c r="A23" i="3"/>
  <c r="A22" i="3" s="1"/>
  <c r="A24" i="3"/>
  <c r="E9" i="12" l="1"/>
  <c r="D9" i="12" s="1"/>
  <c r="C10" i="12" s="1"/>
  <c r="E10" i="12" l="1"/>
  <c r="F10" i="12"/>
  <c r="F11" i="12" s="1"/>
  <c r="F12" i="12" s="1"/>
  <c r="F13" i="12" s="1"/>
  <c r="D10" i="12" l="1"/>
  <c r="C11" i="12" s="1"/>
  <c r="E11" i="12" s="1"/>
  <c r="D11" i="12" s="1"/>
  <c r="F14" i="12"/>
  <c r="C12" i="12" l="1"/>
  <c r="E12" i="12" s="1"/>
  <c r="F15" i="12"/>
  <c r="F16" i="12" l="1"/>
  <c r="D12" i="12"/>
  <c r="C13" i="12" l="1"/>
  <c r="F17" i="12"/>
  <c r="F18" i="12" l="1"/>
  <c r="E13" i="12"/>
  <c r="D13" i="12" l="1"/>
  <c r="F19" i="12"/>
  <c r="F20" i="12" l="1"/>
  <c r="C14" i="12"/>
  <c r="F21" i="12" l="1"/>
  <c r="E14" i="12"/>
  <c r="D14" i="12" l="1"/>
  <c r="F22" i="12"/>
  <c r="F23" i="12" l="1"/>
  <c r="C15" i="12"/>
  <c r="E15" i="12" l="1"/>
  <c r="F24" i="12"/>
  <c r="F25" i="12" l="1"/>
  <c r="D15" i="12"/>
  <c r="C16" i="12" l="1"/>
  <c r="F26" i="12"/>
  <c r="F27" i="12" l="1"/>
  <c r="E16" i="12"/>
  <c r="D16" i="12" l="1"/>
  <c r="C17" i="12" s="1"/>
  <c r="F28" i="12"/>
  <c r="F29" i="12" l="1"/>
  <c r="E17" i="12"/>
  <c r="D17" i="12" s="1"/>
  <c r="C18" i="12" s="1"/>
  <c r="E18" i="12" l="1"/>
  <c r="D18" i="12" s="1"/>
  <c r="C19" i="12" s="1"/>
  <c r="F30" i="12"/>
  <c r="E19" i="12" l="1"/>
  <c r="D19" i="12" s="1"/>
  <c r="C20" i="12" s="1"/>
  <c r="F31" i="12"/>
  <c r="E20" i="12" l="1"/>
  <c r="D20" i="12" s="1"/>
  <c r="C21" i="12" s="1"/>
  <c r="F32" i="12"/>
  <c r="E21" i="12" l="1"/>
  <c r="D21" i="12" s="1"/>
  <c r="C22" i="12" s="1"/>
  <c r="F33" i="12"/>
  <c r="E22" i="12" l="1"/>
  <c r="D22" i="12" s="1"/>
  <c r="C23" i="12" s="1"/>
  <c r="F34" i="12"/>
  <c r="E23" i="12" l="1"/>
  <c r="D23" i="12" s="1"/>
  <c r="C24" i="12" s="1"/>
  <c r="F35" i="12"/>
  <c r="E24" i="12" l="1"/>
  <c r="D24" i="12" s="1"/>
  <c r="C25" i="12" s="1"/>
  <c r="F36" i="12"/>
  <c r="E25" i="12" l="1"/>
  <c r="D25" i="12" s="1"/>
  <c r="C26" i="12" s="1"/>
  <c r="F37" i="12"/>
  <c r="E26" i="12" l="1"/>
  <c r="D26" i="12" s="1"/>
  <c r="C27" i="12" s="1"/>
  <c r="F38" i="12"/>
  <c r="E27" i="12" l="1"/>
  <c r="D27" i="12" s="1"/>
  <c r="C28" i="12" s="1"/>
  <c r="F39" i="12"/>
  <c r="E28" i="12" l="1"/>
  <c r="D28" i="12" s="1"/>
  <c r="C29" i="12" s="1"/>
  <c r="F40" i="12"/>
  <c r="E29" i="12" l="1"/>
  <c r="D29" i="12" s="1"/>
  <c r="C30" i="12" s="1"/>
  <c r="F41" i="12"/>
  <c r="E30" i="12" l="1"/>
  <c r="D30" i="12" s="1"/>
  <c r="C31" i="12" s="1"/>
  <c r="F42" i="12"/>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D43" i="12" l="1"/>
  <c r="C44" i="12" s="1"/>
  <c r="E43" i="12"/>
  <c r="D44" i="12" l="1"/>
  <c r="C45" i="12"/>
  <c r="E44" i="12"/>
  <c r="F43" i="12"/>
  <c r="D45" i="12" l="1"/>
  <c r="C46" i="12" s="1"/>
  <c r="E45" i="12"/>
  <c r="F44" i="12"/>
  <c r="D46" i="12" l="1"/>
  <c r="E46" i="12"/>
  <c r="C47" i="12"/>
  <c r="F45" i="12"/>
  <c r="D47" i="12" l="1"/>
  <c r="E47" i="12"/>
  <c r="C48" i="12"/>
  <c r="F46" i="12"/>
  <c r="D48" i="12" l="1"/>
  <c r="E48" i="12"/>
  <c r="C49" i="12"/>
  <c r="F47" i="12"/>
  <c r="D49" i="12" l="1"/>
  <c r="C50" i="12" s="1"/>
  <c r="E49" i="12"/>
  <c r="F48" i="12"/>
  <c r="D50" i="12" l="1"/>
  <c r="C51" i="12" s="1"/>
  <c r="E50" i="12"/>
  <c r="F49" i="12"/>
  <c r="D51" i="12" l="1"/>
  <c r="C52" i="12" s="1"/>
  <c r="E51" i="12"/>
  <c r="F50" i="12"/>
  <c r="E52" i="12" l="1"/>
  <c r="D52" i="12"/>
  <c r="F52" i="12" s="1"/>
  <c r="F51" i="12"/>
  <c r="C53" i="12" l="1"/>
  <c r="E53" i="12" l="1"/>
  <c r="D53" i="12"/>
  <c r="F53" i="12" s="1"/>
  <c r="C54" i="12" l="1"/>
  <c r="E54" i="12" l="1"/>
  <c r="D54" i="12"/>
  <c r="F54" i="12" s="1"/>
  <c r="C55" i="12" l="1"/>
  <c r="D55" i="12"/>
  <c r="E55" i="12"/>
  <c r="E56" i="12" s="1"/>
  <c r="F55" i="12" l="1"/>
  <c r="F56" i="12" s="1"/>
  <c r="D56" i="12"/>
</calcChain>
</file>

<file path=xl/sharedStrings.xml><?xml version="1.0" encoding="utf-8"?>
<sst xmlns="http://schemas.openxmlformats.org/spreadsheetml/2006/main" count="655" uniqueCount="499">
  <si>
    <t>служебная</t>
  </si>
  <si>
    <t>другое</t>
  </si>
  <si>
    <t>Г.В. Тян</t>
  </si>
  <si>
    <t>-</t>
  </si>
  <si>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</si>
  <si>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</si>
  <si>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</si>
  <si>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</si>
  <si>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</si>
  <si>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</si>
  <si>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</si>
  <si>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</si>
  <si>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</si>
  <si>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</si>
  <si>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</si>
  <si>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</si>
  <si>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</si>
  <si>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</si>
  <si>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</si>
  <si>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</si>
  <si>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</si>
  <si>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</si>
  <si>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</si>
  <si>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</si>
  <si>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</si>
  <si>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</si>
  <si>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</si>
  <si>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</si>
  <si>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</si>
  <si>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</si>
  <si>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</si>
  <si>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</si>
  <si>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</si>
  <si>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</si>
  <si>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</si>
  <si>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</si>
  <si>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</si>
  <si>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</si>
  <si>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</si>
  <si>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</si>
  <si>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</si>
  <si>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</si>
  <si>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</si>
  <si>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</si>
  <si>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</si>
  <si>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</si>
  <si>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</si>
  <si>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</si>
  <si>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</si>
  <si>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</si>
  <si>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</si>
  <si>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</si>
  <si>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</si>
  <si>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</si>
  <si>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</si>
  <si>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</si>
  <si>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</si>
  <si>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</si>
  <si>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</si>
  <si>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</si>
  <si>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</si>
  <si>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</si>
  <si>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</si>
  <si>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</si>
  <si>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</si>
  <si>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</si>
  <si>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</si>
  <si>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</si>
  <si>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</si>
  <si>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</si>
  <si>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</si>
  <si>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</si>
  <si>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</si>
  <si>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</si>
  <si>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</si>
  <si>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</si>
  <si>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</si>
  <si>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</si>
  <si>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</si>
  <si>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</si>
  <si>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</si>
  <si>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</si>
  <si>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</si>
  <si>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</si>
  <si>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</si>
  <si>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</si>
  <si>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</si>
  <si>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</si>
  <si>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</si>
  <si>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</si>
  <si>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</si>
  <si>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</si>
  <si>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</si>
  <si>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</si>
  <si>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</si>
  <si>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</si>
  <si>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</si>
  <si>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</si>
  <si>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</si>
  <si>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</si>
  <si>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</si>
  <si>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</si>
  <si>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</si>
  <si>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</si>
  <si>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</si>
  <si>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</si>
  <si>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</si>
  <si>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</si>
  <si>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</si>
  <si>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</si>
  <si>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</si>
  <si>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</si>
  <si>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</si>
  <si>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</si>
  <si>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</si>
  <si>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</si>
  <si>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</si>
  <si>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</si>
  <si>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</si>
  <si>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</si>
  <si>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</si>
  <si>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</si>
  <si>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</si>
  <si>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</si>
  <si>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</si>
  <si>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</si>
  <si>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</si>
  <si>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</si>
  <si>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</si>
  <si>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</si>
  <si>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</si>
  <si>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</si>
  <si>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</si>
  <si>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</si>
  <si>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</si>
  <si>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</si>
  <si>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</si>
  <si>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</si>
  <si>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</si>
  <si>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</si>
  <si>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</si>
  <si>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</si>
  <si>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</si>
  <si>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</si>
  <si>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</si>
  <si>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</si>
  <si>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</si>
  <si>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</si>
  <si>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</si>
  <si>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</si>
  <si>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</si>
  <si>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</si>
  <si>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</si>
  <si>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</si>
  <si>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</si>
  <si>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</si>
  <si>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</si>
  <si>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</si>
  <si>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</si>
  <si>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</si>
  <si>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</si>
  <si>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</si>
  <si>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</si>
  <si>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</si>
  <si>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</si>
  <si>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</si>
  <si>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</si>
  <si>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</si>
  <si>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</si>
  <si>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</si>
  <si>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</si>
  <si>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</si>
  <si>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</si>
  <si>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</si>
  <si>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</si>
  <si>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</si>
  <si>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</si>
  <si>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</si>
  <si>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</si>
  <si>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</si>
  <si>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</si>
  <si>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</si>
  <si>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</si>
  <si>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</si>
  <si>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</si>
  <si>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</si>
  <si>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</si>
  <si>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</si>
  <si>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</si>
  <si>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</si>
  <si>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</si>
  <si>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</si>
  <si>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</si>
  <si>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</si>
  <si>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</si>
  <si>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</si>
  <si>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</si>
  <si>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</si>
  <si>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</si>
  <si>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</si>
  <si>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</si>
  <si>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</si>
  <si>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</si>
  <si>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</si>
  <si>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</si>
  <si>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</si>
  <si>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</si>
  <si>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</si>
  <si>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</si>
  <si>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</si>
  <si>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</si>
  <si>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</si>
  <si>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</si>
  <si>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</si>
  <si>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</si>
  <si>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</si>
  <si>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</si>
  <si>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</si>
  <si>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</si>
  <si>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</si>
  <si>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</si>
  <si>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</si>
  <si>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</si>
  <si>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</si>
  <si>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</si>
  <si>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</si>
  <si>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</si>
  <si>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</si>
  <si>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</si>
  <si>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</si>
  <si>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</si>
  <si>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</si>
  <si>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</si>
  <si>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</si>
  <si>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</si>
  <si>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</si>
  <si>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</si>
  <si>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</si>
  <si>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</si>
  <si>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</si>
  <si>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</si>
  <si>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</si>
  <si>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</si>
  <si>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</si>
  <si>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</si>
  <si>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</si>
  <si>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</si>
  <si>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</si>
  <si>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</si>
  <si>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</si>
  <si>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</si>
  <si>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</si>
  <si>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</si>
  <si>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</si>
  <si>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</si>
  <si>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</si>
  <si>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</si>
  <si>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</si>
  <si>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</si>
  <si>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</si>
  <si>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</si>
  <si>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</si>
  <si>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</si>
  <si>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</si>
  <si>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</si>
  <si>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</si>
  <si>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</si>
  <si>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</si>
  <si>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</si>
  <si>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</si>
  <si>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</si>
  <si>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</si>
  <si>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</si>
  <si>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</si>
  <si>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</si>
  <si>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</si>
  <si>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</si>
  <si>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</si>
  <si>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</si>
  <si>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</si>
  <si>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</si>
  <si>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</si>
  <si>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</si>
  <si>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</si>
  <si>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</si>
  <si>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</si>
  <si>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</si>
  <si>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</si>
  <si>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</si>
  <si>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</si>
  <si>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</si>
  <si>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</si>
  <si>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</si>
  <si>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</si>
  <si>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</si>
  <si>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</si>
  <si>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</si>
  <si>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</si>
  <si>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</si>
  <si>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</si>
  <si>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</si>
  <si>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</si>
  <si>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</si>
  <si>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</si>
  <si>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</si>
  <si>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</si>
  <si>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</si>
  <si>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</si>
  <si>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</si>
  <si>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</si>
  <si>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</si>
  <si>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</si>
  <si>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</si>
  <si>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</si>
  <si>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</si>
  <si>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</si>
  <si>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</si>
  <si>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</si>
  <si>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</si>
  <si>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</si>
  <si>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</si>
  <si>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</si>
  <si>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</si>
  <si>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</si>
  <si>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</si>
  <si>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</si>
  <si>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</si>
  <si>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</si>
  <si>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</si>
  <si>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</si>
  <si>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</si>
  <si>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</si>
  <si>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</si>
  <si>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</si>
  <si>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</si>
  <si>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</si>
  <si>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</si>
  <si>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</si>
  <si>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</si>
  <si>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</si>
  <si>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</si>
  <si>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</si>
  <si>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</si>
  <si>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</si>
  <si>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</si>
  <si>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</si>
  <si>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</si>
  <si>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</si>
  <si>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</si>
  <si>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</si>
  <si>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</si>
  <si>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</si>
  <si>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</si>
  <si>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</si>
  <si>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</si>
  <si>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</si>
  <si>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</si>
  <si>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</si>
  <si>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</si>
  <si>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</si>
  <si>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</si>
  <si>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</si>
  <si>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 xml:space="preserve"> masala yuzasidan berilgan ma’lumotlarni muhokama qilib, Kredit qo‘mitasi a’zolariga taqdim etilgan zarur hujjatlarni o‘rganib, majlisda ishtirok etgan Kredit qo‘mitasi a’zolarining taklif va mulohazalarini inobatga olgan holda </t>
  </si>
  <si>
    <t>№ kadastr raqami</t>
  </si>
  <si>
    <t>Foydalanishga topshirilgan yili</t>
  </si>
  <si>
    <t>Процент годовой</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</si>
  <si>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</si>
  <si>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</si>
  <si>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</si>
  <si>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</si>
  <si>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ARIZA</t>
  </si>
  <si>
    <t>Mijoz plastik kartasi parametrlari</t>
  </si>
  <si>
    <t>Bank nomi:</t>
  </si>
  <si>
    <t>H/r:</t>
  </si>
  <si>
    <t>MFO:</t>
  </si>
  <si>
    <t>STIR:</t>
  </si>
  <si>
    <t>Karta raqami:</t>
  </si>
  <si>
    <t>________________</t>
  </si>
  <si>
    <t>N. Abduraximov</t>
  </si>
  <si>
    <t>sana</t>
  </si>
  <si>
    <t>Imzolaganlar ro'yxati:</t>
  </si>
  <si>
    <t>55</t>
  </si>
  <si>
    <t>dan</t>
  </si>
  <si>
    <t>Sana:</t>
  </si>
  <si>
    <t>“CLEVER MIKROMOLIYA TASHKILOTI” MChJ</t>
  </si>
  <si>
    <t>Toshkent sh, Olmazor tumani, Sag’bon ko’chasi 30-tup., 6-uy</t>
  </si>
  <si>
    <t>h/r: 2021 6000 7050 6838 0001, STIR: 306 365 847, MFO: 01042,</t>
  </si>
  <si>
    <t>“Kapitalbank” AKB Sergeli filiali</t>
  </si>
  <si>
    <t>O‘zbekiston Respublikasi</t>
  </si>
  <si>
    <t>Notarial idoralariga</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</si>
  <si>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</si>
  <si>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</si>
  <si>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TASHKILOTI» MChJ rahbari</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</si>
  <si>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</si>
  <si>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</si>
  <si>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</si>
  <si>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АО СК "IMPEX INSURANCE"</t>
  </si>
  <si>
    <t>sanasidan</t>
  </si>
  <si>
    <t>Kredit bo'limi menejeri</t>
  </si>
  <si>
    <t xml:space="preserve">Kreditlash bo’limi boshlig’i </t>
  </si>
  <si>
    <t>Ajratilayotgan qarzning sug'urta hisobidan qoplanadigan taminot qismi</t>
  </si>
  <si>
    <t>«PULLOL BUSINESS MIKROMOLIYA TASHKILOTI»  MChJ</t>
  </si>
  <si>
    <t>27-13/968</t>
  </si>
  <si>
    <t>Toshkent shahri, Yakkasaroy tumani, Rakat ko'chasi, 10 uy, 18 xonadon</t>
  </si>
  <si>
    <t>№20208000405643889001</t>
  </si>
  <si>
    <t>№01088</t>
  </si>
  <si>
    <t>ATB “Kapitalbank” Markaziy amaliyotlar bo'limi</t>
  </si>
  <si>
    <t>310430149</t>
  </si>
  <si>
    <t>Abduraximova T.N.</t>
  </si>
  <si>
    <t>Akramov R.N.</t>
  </si>
  <si>
    <t>14.08.2023 y.</t>
  </si>
  <si>
    <t>PUL O'TKAZISH UCHUN ARIZA AО CK «IMPEX INSURANCE»</t>
  </si>
  <si>
    <r>
      <rPr>
        <b/>
        <i/>
        <sz val="12"/>
        <color rgb="FF0D0D0D"/>
        <rFont val="Times New Roman"/>
        <family val="1"/>
      </rPr>
      <t>sug'urta mukofotini to'lash uchun</t>
    </r>
  </si>
  <si>
    <r>
      <rPr>
        <sz val="12"/>
        <rFont val="Times New Roman"/>
        <family val="1"/>
      </rPr>
      <t>Men ixtiyoriy ravishda ish yuritib, shu bilan menga №01/18-22/2505178-sonli bosh kelishuv shartlariga</t>
    </r>
  </si>
  <si>
    <t>ta’minot bilan ta’minlanmagan qismidagi mikroqarz qaytarilmasligi xavfini sug‘urta qilish uchun sug‘urta polisi tuzilayotganligi to‘g‘risida xabar berilganligini tasdiqlayman, hamda ushbu sug‘urta bo’yicha sug'urta mukofoti to‘lovini qabul qilishingizni so‘rayman:</t>
  </si>
  <si>
    <r>
      <rPr>
        <b/>
        <sz val="12"/>
        <color rgb="FF0D0D0D"/>
        <rFont val="Times New Roman"/>
        <family val="1"/>
      </rPr>
      <t>Qabul qiluvchi</t>
    </r>
  </si>
  <si>
    <r>
      <rPr>
        <b/>
        <sz val="12"/>
        <rFont val="Times New Roman"/>
        <family val="1"/>
      </rPr>
      <t>«PULLOL     BUSINESS      MIKROMOLIYA TASHKILOTI</t>
    </r>
    <r>
      <rPr>
        <b/>
        <sz val="10"/>
        <rFont val="Times New Roman"/>
        <family val="1"/>
      </rPr>
      <t xml:space="preserve">» </t>
    </r>
    <r>
      <rPr>
        <b/>
        <sz val="12"/>
        <rFont val="Times New Roman"/>
        <family val="1"/>
      </rPr>
      <t>MChJ</t>
    </r>
  </si>
  <si>
    <r>
      <rPr>
        <b/>
        <sz val="12"/>
        <color rgb="FF0D0D0D"/>
        <rFont val="Times New Roman"/>
        <family val="1"/>
      </rPr>
      <t>Hisob raqam</t>
    </r>
  </si>
  <si>
    <r>
      <rPr>
        <sz val="12"/>
        <rFont val="Times New Roman"/>
        <family val="1"/>
      </rPr>
      <t xml:space="preserve">h/s </t>
    </r>
    <r>
      <rPr>
        <sz val="11"/>
        <rFont val="Times New Roman"/>
        <family val="1"/>
      </rPr>
      <t xml:space="preserve">20208000405643889001   </t>
    </r>
    <r>
      <rPr>
        <sz val="12"/>
        <rFont val="Times New Roman"/>
        <family val="1"/>
      </rPr>
      <t xml:space="preserve">MFO </t>
    </r>
    <r>
      <rPr>
        <sz val="11"/>
        <rFont val="Times New Roman"/>
        <family val="1"/>
      </rPr>
      <t xml:space="preserve">01088
</t>
    </r>
    <r>
      <rPr>
        <sz val="12"/>
        <rFont val="Times New Roman"/>
        <family val="1"/>
      </rPr>
      <t xml:space="preserve">STIR </t>
    </r>
    <r>
      <rPr>
        <sz val="11"/>
        <rFont val="Times New Roman"/>
        <family val="1"/>
      </rPr>
      <t>310430149</t>
    </r>
  </si>
  <si>
    <r>
      <rPr>
        <b/>
        <sz val="12"/>
        <color rgb="FF0D0D0D"/>
        <rFont val="Times New Roman"/>
        <family val="1"/>
      </rPr>
      <t>To’lov maqsadi</t>
    </r>
  </si>
  <si>
    <r>
      <rPr>
        <sz val="12"/>
        <rFont val="Times New Roman"/>
        <family val="1"/>
      </rPr>
      <t>Sug’urta mukofotini to’lash</t>
    </r>
  </si>
  <si>
    <r>
      <rPr>
        <b/>
        <sz val="12"/>
        <color rgb="FF0D0D0D"/>
        <rFont val="Times New Roman"/>
        <family val="1"/>
      </rPr>
      <t>Yillik tarif</t>
    </r>
  </si>
  <si>
    <r>
      <rPr>
        <b/>
        <sz val="12"/>
        <color rgb="FF0D0D0D"/>
        <rFont val="Times New Roman"/>
        <family val="1"/>
      </rPr>
      <t>Polis raqami</t>
    </r>
  </si>
  <si>
    <r>
      <rPr>
        <sz val="12"/>
        <rFont val="Times New Roman"/>
        <family val="1"/>
      </rPr>
      <t>Men quyidagilar bilan roziman:</t>
    </r>
  </si>
  <si>
    <r>
      <rPr>
        <sz val="12"/>
        <rFont val="Symbol"/>
        <family val="1"/>
      </rPr>
      <t xml:space="preserve">  </t>
    </r>
    <r>
      <rPr>
        <sz val="12"/>
        <rFont val="Times New Roman"/>
        <family val="1"/>
      </rPr>
      <t xml:space="preserve"> sug‘urta shartnomasini (sug‘urta polisini) tuzish (ro‘yxatdan o‘tkazish) uchun mening hisobimdan</t>
    </r>
  </si>
  <si>
    <r>
      <rPr>
        <sz val="12"/>
        <rFont val="Times New Roman"/>
        <family val="1"/>
      </rPr>
      <t>yechib olingan to‘lov summasi bilan;</t>
    </r>
  </si>
  <si>
    <r>
      <rPr>
        <sz val="12"/>
        <rFont val="Symbol"/>
        <family val="1"/>
      </rPr>
      <t></t>
    </r>
    <r>
      <rPr>
        <sz val="12"/>
        <rFont val="Times New Roman"/>
        <family val="1"/>
      </rPr>
      <t xml:space="preserve"> Sug'urtalovchiga "Kafolatsiz garov yoki boshqa turdagi garov bilan ta'minlanmagan qismi bo'yicha mikrokredit/mikrokredit to'lanmaganlik" xavfi bo'yicha to'langan sug'urta tovoni summasini to'liq undirib olinmaguncha, summalarni O'zbekiston Respublikasining mening nomimga ochilgan har qanday bank hisobvaraqlari va bank kartasidan akseptsiz va tortishuvsiz tartibda yechib olishni topshiraman va ushbu ariza mening hisobimdan sug'urtalovchi tomonidan to'langan sug'urta tovoni summasini to'liq undirib olinmaguncha, mening nomimga ochilgan O'zbekiston Respublikasining har qanday bankining hisobvaraqlari va bank kartamdan akseptsiz tartibda pul mablag'larini yechib olish bo'yicha mening farmoyishim hisoblanadi.</t>
    </r>
  </si>
  <si>
    <t>                                                                                                                                                </t>
  </si>
  <si>
    <t>  Imzo   </t>
  </si>
  <si>
    <t>F.I.O.</t>
  </si>
  <si>
    <t>YENGIL SEDAN</t>
  </si>
  <si>
    <t>Mijoz quyidagi majburiyatlarga ega: "TOShKENT Sh., "ANOR BANK" АKTSIYADORLIK JАMIYATI 106 139 813.00 so'm, Ayni paytda muddati o'tgan qarzdorligi mavjud emas. O‘rtacha oylik to‘lov 5 353 870.46 so‘mni tashkil qiladi</t>
  </si>
  <si>
    <t>bir yuz ellik besh</t>
  </si>
  <si>
    <t>155</t>
  </si>
  <si>
    <t>Eshbekov S. O.</t>
  </si>
  <si>
    <t xml:space="preserve">QARZDORLIKNI SOLISHTIRISH </t>
  </si>
  <si>
    <t>DALOLATNOMASI</t>
  </si>
  <si>
    <t>___.___.20___yil holatiga ko’ra, qarz oluvchining «PULLOL  BUSINESS MIKROMOLIYA   TASHKILOTI»    MCHJ  oldidagi qarzi__________________,__   (___________________ ______________________so’m___tiyin)</t>
  </si>
  <si>
    <t>shundan:</t>
  </si>
  <si>
    <t>Muddatli qarz -________________________ so’m___tiyin;</t>
  </si>
  <si>
    <t>Muddati o’tgan asosiy qarz -________________________so’m___tiyin;</t>
  </si>
  <si>
    <t>Hisoblangan foizlar -________________________so’m___tiyin;</t>
  </si>
  <si>
    <t>Muddati o’tgan foizlar -________________________so’m___tiyin.</t>
  </si>
  <si>
    <t xml:space="preserve">MCHJ «PULLOL BUSINESS MIKROMOLIYA TASHKILOTI» </t>
  </si>
  <si>
    <t>(F.I.SH.)</t>
  </si>
  <si>
    <t>Men yuqorida ko’rsatilgan qarzni tasdiqlayman va tan olaman</t>
  </si>
  <si>
    <t>MA'LUMOTNOMA №</t>
  </si>
  <si>
    <t>Mominov B. X.</t>
  </si>
  <si>
    <t>Mominov Botirjon Xasanbay o'g'li</t>
  </si>
  <si>
    <t>B. X. Mominov</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</si>
  <si>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qoplanadi________________.</t>
  </si>
  <si>
    <t>Buxoro filiali boshlig’i</t>
  </si>
  <si>
    <t>Ikromov B.A.</t>
  </si>
  <si>
    <t>B.A.Ikromov</t>
  </si>
  <si>
    <t>direktor v.v.b.</t>
  </si>
  <si>
    <t>«PULLOL BUSINESS MIKROMOLIYA TASHKILOTI»  MChJ direktori v.v.b.</t>
  </si>
  <si>
    <t>Direktor v.v.b.</t>
  </si>
  <si>
    <t>07.04.2026</t>
  </si>
  <si>
    <t>24.05.1993 y</t>
  </si>
  <si>
    <t xml:space="preserve">AD 9213848 </t>
  </si>
  <si>
    <t xml:space="preserve">IIV 61013 </t>
  </si>
  <si>
    <t>BUXORO VILOYATI KOGON TUMANI SORG'UN MFY PARAKATI QQ 22-UY</t>
  </si>
  <si>
    <t>7-MAKTAB</t>
  </si>
  <si>
    <t xml:space="preserve">KOGON TUMANI </t>
  </si>
  <si>
    <t>91 247 01 98 UKASI</t>
  </si>
  <si>
    <t>93 392 24 05 AYOLI</t>
  </si>
  <si>
    <t>ALLAMURODOV ALISHER YOQUBOVICH</t>
  </si>
  <si>
    <t>ALLAMURODOV A.Y</t>
  </si>
  <si>
    <t>BUXORO VILOYATI BUXORO SHAHRI BOG'ISHAMOL KO'CHASI 1/7 UY 1-XONA</t>
  </si>
  <si>
    <t>TURAYEVA DURDONA XIKMATOVNA</t>
  </si>
  <si>
    <t>202602372001231</t>
  </si>
  <si>
    <t>RO'ZIYEV ODILJON OLIMJONOVICH</t>
  </si>
  <si>
    <t>11.07.1987 y</t>
  </si>
  <si>
    <t xml:space="preserve">FA 3070122 </t>
  </si>
  <si>
    <t>BUXORO VILOYATI OLOT TUMANI ASAJAM MFY ASAJAM</t>
  </si>
  <si>
    <t>1-TRO' VA IOB (JONDOR)</t>
  </si>
  <si>
    <t>SPARK</t>
  </si>
  <si>
    <t>80F845XA</t>
  </si>
  <si>
    <t>XWBMF48NEJA525204</t>
  </si>
  <si>
    <t>B15D212181062B8JX0417</t>
  </si>
  <si>
    <t>OQ BELAYA</t>
  </si>
  <si>
    <t>2018</t>
  </si>
  <si>
    <t>KAPITAL BANK</t>
  </si>
  <si>
    <t>2312 0000 5000 0115 8013</t>
  </si>
  <si>
    <t>01158</t>
  </si>
  <si>
    <t>207275139</t>
  </si>
  <si>
    <t>5614 6822 1114 0969</t>
  </si>
  <si>
    <t>№ 0013114001</t>
  </si>
  <si>
    <t>№ 323-BR</t>
  </si>
  <si>
    <t>ALLAMURODOV MUHAMMAD YOQUB O‘G‘LI</t>
  </si>
  <si>
    <t>ALLAMURODOV M.Y.</t>
  </si>
  <si>
    <t>93 137 50 56 KLIENT</t>
  </si>
  <si>
    <t>Йўловчиларни енгил автотранспорт воситаларида ташиш</t>
  </si>
  <si>
    <t>Бухоро вилояти Когон тумани</t>
  </si>
  <si>
    <t>07.04.2026 y</t>
  </si>
  <si>
    <t>RO'ZIYEV O.O.</t>
  </si>
  <si>
    <t>BUXORO VILOYATI OLOT TUMANI IIB tamonidan 15.06.2021 yilda berilgan</t>
  </si>
  <si>
    <t>AAG   2554881   10.10.2023 y</t>
  </si>
  <si>
    <t>RAKAMSIZ</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</si>
</sst>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 _₽_-;\-* #,##0.00\ _₽_-;_-* &quot;-&quot;??\ _₽_-;_-@_-"/>
    <numFmt numFmtId="164" formatCode="_-* #,##0_-;\-* #,##0_-;_-* &quot;-&quot;_-;_-@_-"/>
    <numFmt numFmtId="165" formatCode="_-* #,##0.00_-;\-* #,##0.00_-;_-* &quot;-&quot;??_-;_-@_-"/>
    <numFmt numFmtId="166" formatCode="[$-F800]dddd\,\ mmmm\ dd\,\ yyyy"/>
    <numFmt numFmtId="167" formatCode="_-* #,##0.0000\ _₽_-;\-* #,##0.0000\ _₽_-;_-* &quot;-&quot;??\ _₽_-;_-@_-"/>
    <numFmt numFmtId="168" formatCode="_-* #,##0.000\ _₽_-;\-* #,##0.000\ _₽_-;_-* &quot;-&quot;??\ _₽_-;_-@_-"/>
    <numFmt numFmtId="169" formatCode="ddd"/>
    <numFmt numFmtId="170" formatCode="dd\.mm\.yyyy"/>
    <numFmt numFmtId="171" formatCode="_-* #\ ##0.00\ _₽_-;\-* #\ ##0.00\ _₽_-;_-* &quot;-&quot;??\ _₽_-;_-@_-"/>
    <numFmt numFmtId="172" formatCode="_-* #\ ##0.00_-;\-* #\ ##0.00_-;_-* &quot;-&quot;??_-;_-@_-"/>
  </numFmts>
  <fonts count="78" x14ac:knownFonts="1">
    <font>
      <sz val="11"/>
      <color theme="1"/>
      <name val="Calibri"/>
      <family val="2"/>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b/>
      <u/>
      <sz val="12"/>
      <name val="Times New Roman"/>
      <family val="1"/>
      <charset val="204"/>
    </font>
    <font>
      <b/>
      <sz val="12"/>
      <name val="Times New Roman"/>
      <family val="1"/>
      <charset val="204"/>
    </font>
    <font>
      <sz val="11"/>
      <color theme="1"/>
      <name val="Arial"/>
      <family val="2"/>
      <charset val="204"/>
    </font>
    <font>
      <sz val="22"/>
      <color rgb="FFFF0000"/>
      <name val="Arial"/>
      <family val="2"/>
      <charset val="204"/>
    </font>
    <font>
      <sz val="12"/>
      <color theme="0"/>
      <name val="Times New Roman"/>
      <family val="1"/>
      <charset val="204"/>
    </font>
    <font>
      <sz val="9"/>
      <color theme="1"/>
      <name val="Times New Roman"/>
      <family val="1"/>
      <charset val="204"/>
    </font>
    <font>
      <sz val="11"/>
      <color rgb="FF8C0101"/>
      <name val="Times New Roman"/>
      <family val="1"/>
      <charset val="204"/>
    </font>
    <font>
      <sz val="11"/>
      <color theme="1"/>
      <name val="Calibri"/>
      <family val="2"/>
      <charset val="204"/>
      <scheme val="minor"/>
    </font>
    <font>
      <sz val="11"/>
      <color theme="1"/>
      <name val="Calibri"/>
      <family val="2"/>
      <charset val="204"/>
      <scheme val="minor"/>
    </font>
    <font>
      <sz val="11"/>
      <name val="Calibri"/>
      <family val="2"/>
      <charset val="204"/>
    </font>
    <font>
      <sz val="12"/>
      <name val="Arial"/>
      <family val="2"/>
      <charset val="204"/>
    </font>
    <font>
      <sz val="10"/>
      <color rgb="FF000000"/>
      <name val="Times New Roman"/>
      <family val="1"/>
      <charset val="204"/>
    </font>
    <font>
      <b/>
      <sz val="12"/>
      <color rgb="FF0D0D0D"/>
      <name val="Times New Roman"/>
      <family val="1"/>
    </font>
    <font>
      <b/>
      <i/>
      <sz val="12"/>
      <name val="Times New Roman"/>
      <family val="1"/>
      <charset val="204"/>
    </font>
    <font>
      <b/>
      <i/>
      <sz val="12"/>
      <color rgb="FF0D0D0D"/>
      <name val="Times New Roman"/>
      <family val="1"/>
    </font>
    <font>
      <sz val="12"/>
      <name val="Times New Roman"/>
      <family val="1"/>
    </font>
    <font>
      <sz val="12"/>
      <color rgb="FF000000"/>
      <name val="Times New Roman"/>
      <family val="1"/>
      <charset val="204"/>
    </font>
    <font>
      <b/>
      <sz val="12"/>
      <name val="Times New Roman"/>
      <family val="1"/>
    </font>
    <font>
      <b/>
      <sz val="10"/>
      <name val="Times New Roman"/>
      <family val="1"/>
    </font>
    <font>
      <sz val="11"/>
      <name val="Times New Roman"/>
      <family val="1"/>
    </font>
    <font>
      <sz val="12"/>
      <name val="Symbol"/>
      <family val="1"/>
    </font>
    <font>
      <b/>
      <u/>
      <sz val="12"/>
      <color rgb="FF0D0D0D"/>
      <name val="Times New Roman"/>
      <family val="1"/>
    </font>
  </fonts>
  <fills count="14">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
      <patternFill patternType="solid">
        <fgColor theme="2" tint="-0.249977111117893"/>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6045">
    <xf numFmtId="0" fontId="0"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55" fillId="0" borderId="0">
      <alignment vertical="center"/>
    </xf>
    <xf numFmtId="0" fontId="55" fillId="0" borderId="0">
      <alignment vertical="center"/>
    </xf>
    <xf numFmtId="165" fontId="10"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4"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3" fillId="0" borderId="0"/>
    <xf numFmtId="0" fontId="64" fillId="0" borderId="0"/>
    <xf numFmtId="172" fontId="63" fillId="0" borderId="0" applyFont="0" applyFill="0" applyBorder="0" applyAlignment="0" applyProtection="0"/>
    <xf numFmtId="172" fontId="63" fillId="0" borderId="0" applyFont="0" applyFill="0" applyBorder="0" applyAlignment="0" applyProtection="0"/>
    <xf numFmtId="0" fontId="64" fillId="0" borderId="0"/>
    <xf numFmtId="172" fontId="63" fillId="0" borderId="0" applyFont="0" applyFill="0" applyBorder="0" applyAlignment="0" applyProtection="0"/>
    <xf numFmtId="172" fontId="63" fillId="0" borderId="0" applyFont="0" applyFill="0" applyBorder="0" applyAlignment="0" applyProtection="0"/>
    <xf numFmtId="0" fontId="65" fillId="0" borderId="0">
      <alignment vertical="center"/>
    </xf>
    <xf numFmtId="0" fontId="64" fillId="0" borderId="0"/>
    <xf numFmtId="172" fontId="63" fillId="0" borderId="0" applyFont="0" applyFill="0" applyBorder="0" applyAlignment="0" applyProtection="0"/>
    <xf numFmtId="0" fontId="64" fillId="0" borderId="0"/>
    <xf numFmtId="0" fontId="64" fillId="0" borderId="0"/>
    <xf numFmtId="0" fontId="64" fillId="0" borderId="0"/>
    <xf numFmtId="0" fontId="64" fillId="0" borderId="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0" fontId="65" fillId="0" borderId="0">
      <alignment vertical="center"/>
    </xf>
    <xf numFmtId="172" fontId="63" fillId="0" borderId="0" applyFont="0" applyFill="0" applyBorder="0" applyAlignment="0" applyProtection="0"/>
    <xf numFmtId="0" fontId="64" fillId="0" borderId="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172" fontId="63" fillId="0" borderId="0" applyFont="0" applyFill="0" applyBorder="0" applyAlignment="0" applyProtection="0"/>
    <xf numFmtId="9" fontId="63"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4"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4"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55" fillId="0" borderId="0">
      <alignment vertical="center"/>
    </xf>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55" fillId="0" borderId="0">
      <alignment vertical="center"/>
    </xf>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9" fontId="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67" fillId="0" borderId="0"/>
  </cellStyleXfs>
  <cellXfs count="416">
    <xf numFmtId="0" fontId="0" fillId="0" borderId="0" xfId="0"/>
    <xf numFmtId="0" fontId="11" fillId="0" borderId="1" xfId="0" applyFont="1" applyBorder="1" applyAlignment="1">
      <alignment vertical="center" wrapText="1"/>
    </xf>
    <xf numFmtId="49" fontId="11" fillId="0" borderId="1" xfId="0" applyNumberFormat="1" applyFont="1" applyBorder="1" applyAlignment="1">
      <alignment vertical="center" wrapText="1"/>
    </xf>
    <xf numFmtId="0" fontId="12" fillId="2" borderId="1" xfId="0" applyFont="1" applyFill="1" applyBorder="1" applyAlignment="1">
      <alignment vertical="center" wrapText="1"/>
    </xf>
    <xf numFmtId="166" fontId="11" fillId="0" borderId="1" xfId="0" applyNumberFormat="1" applyFont="1" applyBorder="1" applyAlignment="1">
      <alignment vertical="center" wrapText="1"/>
    </xf>
    <xf numFmtId="165" fontId="11" fillId="0" borderId="1" xfId="1" applyFont="1" applyBorder="1" applyAlignment="1">
      <alignment vertical="center" wrapText="1"/>
    </xf>
    <xf numFmtId="0" fontId="13" fillId="0" borderId="0" xfId="0" applyFont="1"/>
    <xf numFmtId="0" fontId="15" fillId="2"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17" fillId="0" borderId="0" xfId="0" applyFont="1" applyAlignment="1" applyProtection="1">
      <alignment horizontal="center" vertical="top"/>
      <protection hidden="1"/>
    </xf>
    <xf numFmtId="0" fontId="17" fillId="0" borderId="0" xfId="0" applyFont="1" applyAlignment="1" applyProtection="1">
      <alignment horizontal="center" vertical="center"/>
      <protection hidden="1"/>
    </xf>
    <xf numFmtId="0" fontId="14" fillId="0" borderId="0" xfId="0" applyFont="1"/>
    <xf numFmtId="0" fontId="14" fillId="0" borderId="0" xfId="0" applyFont="1" applyAlignment="1">
      <alignment horizontal="right"/>
    </xf>
    <xf numFmtId="0" fontId="18" fillId="0" borderId="0" xfId="0" applyFont="1"/>
    <xf numFmtId="0" fontId="18" fillId="0" borderId="0" xfId="0" applyFont="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xf numFmtId="0" fontId="18" fillId="0" borderId="0" xfId="0" applyFont="1" applyAlignment="1">
      <alignment horizontal="justify" vertical="top" wrapText="1"/>
    </xf>
    <xf numFmtId="0" fontId="18" fillId="0" borderId="0" xfId="0" applyFont="1" applyAlignment="1">
      <alignment wrapText="1"/>
    </xf>
    <xf numFmtId="0" fontId="18" fillId="0" borderId="0" xfId="0" applyFont="1" applyAlignment="1">
      <alignment vertical="top" wrapText="1"/>
    </xf>
    <xf numFmtId="0" fontId="18" fillId="0" borderId="0" xfId="0" applyFont="1" applyAlignment="1">
      <alignment vertical="center" wrapText="1"/>
    </xf>
    <xf numFmtId="0" fontId="21" fillId="0" borderId="0" xfId="0" applyFont="1"/>
    <xf numFmtId="0" fontId="20" fillId="0" borderId="1" xfId="0" applyFont="1" applyBorder="1" applyAlignment="1">
      <alignment horizontal="center" vertical="center" wrapText="1"/>
    </xf>
    <xf numFmtId="0" fontId="20" fillId="0" borderId="0" xfId="0" applyFont="1" applyAlignment="1">
      <alignment horizontal="center" vertical="center" wrapText="1"/>
    </xf>
    <xf numFmtId="0" fontId="21" fillId="0" borderId="1" xfId="0" applyFont="1" applyBorder="1" applyAlignment="1">
      <alignment horizontal="center" vertical="top" wrapText="1"/>
    </xf>
    <xf numFmtId="165" fontId="21" fillId="0" borderId="1" xfId="1" applyFont="1" applyBorder="1" applyAlignment="1">
      <alignment horizontal="center" vertical="top" wrapText="1"/>
    </xf>
    <xf numFmtId="0" fontId="20" fillId="0" borderId="1" xfId="0" applyFont="1" applyBorder="1" applyAlignment="1">
      <alignment horizontal="center" vertical="top" wrapText="1"/>
    </xf>
    <xf numFmtId="165" fontId="20" fillId="0" borderId="1" xfId="0" applyNumberFormat="1" applyFont="1" applyBorder="1" applyAlignment="1">
      <alignment horizontal="center" vertical="top" wrapText="1"/>
    </xf>
    <xf numFmtId="0" fontId="20" fillId="0" borderId="0" xfId="0" applyFont="1"/>
    <xf numFmtId="0" fontId="13" fillId="0" borderId="0" xfId="0" applyFont="1" applyAlignment="1">
      <alignment horizontal="left"/>
    </xf>
    <xf numFmtId="14" fontId="18" fillId="0" borderId="1" xfId="0" applyNumberFormat="1" applyFont="1" applyBorder="1"/>
    <xf numFmtId="165" fontId="18" fillId="0" borderId="1" xfId="1" applyFont="1" applyBorder="1"/>
    <xf numFmtId="14" fontId="18" fillId="0" borderId="0" xfId="0" applyNumberFormat="1" applyFont="1"/>
    <xf numFmtId="165" fontId="18" fillId="0" borderId="0" xfId="1" applyFont="1" applyBorder="1"/>
    <xf numFmtId="0" fontId="19" fillId="0" borderId="0" xfId="0" applyFont="1"/>
    <xf numFmtId="0" fontId="19" fillId="0" borderId="0" xfId="0" applyFont="1" applyAlignment="1">
      <alignment horizontal="right"/>
    </xf>
    <xf numFmtId="0" fontId="19" fillId="0" borderId="1" xfId="0" applyFont="1" applyBorder="1" applyAlignment="1">
      <alignment horizontal="center" vertical="center" wrapText="1"/>
    </xf>
    <xf numFmtId="0" fontId="19" fillId="0" borderId="0" xfId="0" applyFont="1" applyAlignment="1">
      <alignment horizontal="center"/>
    </xf>
    <xf numFmtId="0" fontId="26" fillId="0" borderId="0" xfId="0" applyFont="1" applyAlignment="1">
      <alignment horizontal="center" wrapText="1"/>
    </xf>
    <xf numFmtId="0" fontId="18" fillId="0" borderId="0" xfId="0" applyFont="1" applyAlignment="1">
      <alignment horizontal="center" wrapText="1"/>
    </xf>
    <xf numFmtId="0" fontId="25" fillId="0" borderId="0" xfId="0" applyFont="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19" fillId="0" borderId="1" xfId="0" applyFont="1" applyBorder="1"/>
    <xf numFmtId="14" fontId="19" fillId="0" borderId="1" xfId="0" applyNumberFormat="1" applyFont="1" applyBorder="1"/>
    <xf numFmtId="165" fontId="19" fillId="0" borderId="1" xfId="1" applyFont="1" applyBorder="1"/>
    <xf numFmtId="0" fontId="11" fillId="4" borderId="1" xfId="0" applyFont="1" applyFill="1" applyBorder="1" applyAlignment="1">
      <alignment vertical="center" wrapText="1"/>
    </xf>
    <xf numFmtId="0" fontId="19" fillId="0" borderId="0" xfId="0" applyFont="1" applyAlignment="1">
      <alignment horizontal="center" vertical="center" wrapText="1"/>
    </xf>
    <xf numFmtId="165" fontId="31" fillId="0" borderId="1" xfId="1" applyFont="1" applyBorder="1"/>
    <xf numFmtId="165" fontId="11" fillId="4" borderId="1" xfId="1" applyFont="1" applyFill="1" applyBorder="1" applyAlignment="1">
      <alignment vertical="center" wrapText="1"/>
    </xf>
    <xf numFmtId="0" fontId="18" fillId="0" borderId="0" xfId="0" applyFont="1" applyAlignment="1">
      <alignment horizontal="left" vertical="top" wrapText="1"/>
    </xf>
    <xf numFmtId="0" fontId="18" fillId="0" borderId="8" xfId="0" applyFont="1" applyBorder="1" applyAlignment="1">
      <alignment wrapText="1"/>
    </xf>
    <xf numFmtId="0" fontId="18" fillId="0" borderId="9" xfId="0" applyFont="1" applyBorder="1" applyAlignment="1">
      <alignment wrapText="1"/>
    </xf>
    <xf numFmtId="166" fontId="30" fillId="2" borderId="1" xfId="0" applyNumberFormat="1" applyFont="1" applyFill="1" applyBorder="1" applyAlignment="1">
      <alignment vertical="center" wrapText="1"/>
    </xf>
    <xf numFmtId="166" fontId="11" fillId="2" borderId="1" xfId="0" applyNumberFormat="1" applyFont="1" applyFill="1" applyBorder="1" applyAlignment="1">
      <alignment vertical="center" wrapText="1"/>
    </xf>
    <xf numFmtId="0" fontId="11"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4" fillId="4" borderId="1" xfId="0" applyFont="1" applyFill="1" applyBorder="1"/>
    <xf numFmtId="0" fontId="14" fillId="0" borderId="0" xfId="0" applyFont="1" applyAlignment="1">
      <alignment horizontal="center" vertical="center" wrapText="1"/>
    </xf>
    <xf numFmtId="0" fontId="14" fillId="0" borderId="0" xfId="0" applyFont="1" applyAlignment="1">
      <alignment horizontal="center"/>
    </xf>
    <xf numFmtId="0" fontId="13" fillId="0" borderId="0" xfId="0" applyFont="1" applyAlignment="1">
      <alignment horizontal="center" vertical="center"/>
    </xf>
    <xf numFmtId="165" fontId="11" fillId="4" borderId="3" xfId="1" applyFont="1" applyFill="1" applyBorder="1" applyAlignment="1">
      <alignment vertical="center" wrapText="1"/>
    </xf>
    <xf numFmtId="0" fontId="12" fillId="2" borderId="1" xfId="0" applyFont="1" applyFill="1" applyBorder="1" applyAlignment="1">
      <alignment horizontal="right" vertical="center" wrapText="1"/>
    </xf>
    <xf numFmtId="0" fontId="13" fillId="0" borderId="0" xfId="0" applyFont="1" applyAlignment="1">
      <alignment vertical="top" wrapText="1"/>
    </xf>
    <xf numFmtId="0" fontId="14" fillId="0" borderId="0" xfId="0" applyFont="1" applyAlignment="1">
      <alignment horizontal="center" wrapText="1"/>
    </xf>
    <xf numFmtId="0" fontId="13" fillId="0" borderId="0" xfId="0" applyFont="1" applyAlignment="1">
      <alignment vertical="top"/>
    </xf>
    <xf numFmtId="0" fontId="11" fillId="6" borderId="1" xfId="0" applyFont="1" applyFill="1" applyBorder="1" applyAlignment="1">
      <alignment vertical="center" wrapText="1"/>
    </xf>
    <xf numFmtId="166" fontId="11" fillId="2" borderId="1" xfId="0" applyNumberFormat="1" applyFont="1" applyFill="1" applyBorder="1" applyAlignment="1">
      <alignment horizontal="left" vertical="center" wrapText="1"/>
    </xf>
    <xf numFmtId="14" fontId="11" fillId="6" borderId="1" xfId="0" applyNumberFormat="1" applyFont="1" applyFill="1" applyBorder="1" applyAlignment="1">
      <alignment vertical="center" wrapText="1"/>
    </xf>
    <xf numFmtId="166" fontId="11" fillId="6" borderId="1" xfId="0" applyNumberFormat="1" applyFont="1" applyFill="1" applyBorder="1" applyAlignment="1">
      <alignment vertical="center" wrapText="1"/>
    </xf>
    <xf numFmtId="9" fontId="11" fillId="7" borderId="1" xfId="0" applyNumberFormat="1" applyFont="1" applyFill="1" applyBorder="1" applyAlignment="1">
      <alignment vertical="center" wrapText="1"/>
    </xf>
    <xf numFmtId="49" fontId="11" fillId="7" borderId="1" xfId="1" applyNumberFormat="1" applyFont="1" applyFill="1" applyBorder="1" applyAlignment="1">
      <alignment vertical="center" wrapText="1"/>
    </xf>
    <xf numFmtId="40" fontId="11" fillId="7" borderId="1" xfId="1" applyNumberFormat="1" applyFont="1" applyFill="1" applyBorder="1" applyAlignment="1">
      <alignment vertical="center" wrapText="1"/>
    </xf>
    <xf numFmtId="0" fontId="12" fillId="2" borderId="1" xfId="0" applyFont="1" applyFill="1" applyBorder="1" applyAlignment="1">
      <alignment horizontal="center" vertical="center" wrapText="1"/>
    </xf>
    <xf numFmtId="49" fontId="11" fillId="4" borderId="1" xfId="0" applyNumberFormat="1" applyFont="1" applyFill="1" applyBorder="1" applyAlignment="1">
      <alignment horizontal="left" vertical="center" wrapText="1"/>
    </xf>
    <xf numFmtId="0" fontId="37" fillId="0" borderId="0" xfId="0" applyFont="1"/>
    <xf numFmtId="0" fontId="31" fillId="0" borderId="0" xfId="0" applyFont="1"/>
    <xf numFmtId="0" fontId="37" fillId="0" borderId="0" xfId="0" applyFont="1" applyAlignment="1">
      <alignment horizontal="right"/>
    </xf>
    <xf numFmtId="43" fontId="31" fillId="0" borderId="0" xfId="0" applyNumberFormat="1" applyFont="1"/>
    <xf numFmtId="167" fontId="31" fillId="0" borderId="0" xfId="0" applyNumberFormat="1" applyFont="1"/>
    <xf numFmtId="0" fontId="31" fillId="0" borderId="1" xfId="0" applyFont="1" applyBorder="1" applyAlignment="1">
      <alignment horizontal="center" vertical="center" wrapText="1"/>
    </xf>
    <xf numFmtId="0" fontId="31" fillId="0" borderId="0" xfId="0" applyFont="1" applyAlignment="1">
      <alignment horizontal="center" vertical="center" wrapText="1"/>
    </xf>
    <xf numFmtId="0" fontId="31" fillId="0" borderId="1" xfId="0" applyFont="1" applyBorder="1"/>
    <xf numFmtId="14" fontId="31" fillId="0" borderId="1" xfId="0" applyNumberFormat="1" applyFont="1" applyBorder="1"/>
    <xf numFmtId="168" fontId="31" fillId="0" borderId="0" xfId="0" applyNumberFormat="1" applyFont="1"/>
    <xf numFmtId="0" fontId="37" fillId="0" borderId="1" xfId="0" applyFont="1" applyBorder="1"/>
    <xf numFmtId="14" fontId="37" fillId="0" borderId="1" xfId="0" applyNumberFormat="1" applyFont="1" applyBorder="1"/>
    <xf numFmtId="165" fontId="37" fillId="0" borderId="1" xfId="1" applyFont="1" applyBorder="1"/>
    <xf numFmtId="14" fontId="31" fillId="0" borderId="0" xfId="0" applyNumberFormat="1" applyFont="1"/>
    <xf numFmtId="165" fontId="31" fillId="0" borderId="0" xfId="1" applyFont="1" applyBorder="1"/>
    <xf numFmtId="14" fontId="30" fillId="5" borderId="0" xfId="0" applyNumberFormat="1" applyFont="1" applyFill="1"/>
    <xf numFmtId="0" fontId="30" fillId="5" borderId="0" xfId="0" applyFont="1" applyFill="1"/>
    <xf numFmtId="0" fontId="30" fillId="0" borderId="0" xfId="0" applyFont="1"/>
    <xf numFmtId="169" fontId="40" fillId="5" borderId="0" xfId="0" applyNumberFormat="1" applyFont="1" applyFill="1"/>
    <xf numFmtId="0" fontId="30" fillId="4" borderId="0" xfId="0" applyFont="1" applyFill="1"/>
    <xf numFmtId="1" fontId="30" fillId="5" borderId="0" xfId="0" applyNumberFormat="1" applyFont="1" applyFill="1"/>
    <xf numFmtId="49" fontId="31" fillId="0" borderId="0" xfId="0" applyNumberFormat="1" applyFont="1" applyAlignment="1">
      <alignment horizontal="right"/>
    </xf>
    <xf numFmtId="0" fontId="41" fillId="0" borderId="0" xfId="0" applyFont="1" applyAlignment="1">
      <alignment vertical="center"/>
    </xf>
    <xf numFmtId="0" fontId="42" fillId="0" borderId="0" xfId="0" applyFont="1" applyAlignment="1">
      <alignment horizontal="right" vertical="center"/>
    </xf>
    <xf numFmtId="0" fontId="42" fillId="0" borderId="0" xfId="0" applyFont="1" applyAlignment="1">
      <alignment horizontal="right" vertical="center" wrapText="1"/>
    </xf>
    <xf numFmtId="165" fontId="18" fillId="0" borderId="1" xfId="1" applyFont="1" applyBorder="1" applyAlignment="1">
      <alignment horizontal="center" vertical="top" wrapText="1"/>
    </xf>
    <xf numFmtId="0" fontId="43" fillId="7" borderId="1" xfId="0" applyFont="1" applyFill="1" applyBorder="1"/>
    <xf numFmtId="0" fontId="43" fillId="0" borderId="0" xfId="0" applyFont="1"/>
    <xf numFmtId="0" fontId="0" fillId="4" borderId="1" xfId="0" applyFill="1" applyBorder="1"/>
    <xf numFmtId="14" fontId="0" fillId="4" borderId="1" xfId="0" applyNumberFormat="1" applyFill="1" applyBorder="1"/>
    <xf numFmtId="165" fontId="0" fillId="4" borderId="1" xfId="1" applyFont="1" applyFill="1" applyBorder="1"/>
    <xf numFmtId="0" fontId="30" fillId="4" borderId="1" xfId="0" applyFont="1" applyFill="1" applyBorder="1"/>
    <xf numFmtId="0" fontId="43" fillId="7" borderId="1" xfId="0" applyFont="1" applyFill="1" applyBorder="1" applyAlignment="1">
      <alignment horizontal="center" vertical="center" wrapText="1"/>
    </xf>
    <xf numFmtId="0" fontId="0" fillId="0" borderId="0" xfId="0" applyAlignment="1">
      <alignment horizontal="center" vertical="center" wrapText="1"/>
    </xf>
    <xf numFmtId="43" fontId="0" fillId="0" borderId="0" xfId="0" applyNumberFormat="1"/>
    <xf numFmtId="0" fontId="32" fillId="0" borderId="0" xfId="0" applyFont="1" applyAlignment="1">
      <alignment horizontal="right"/>
    </xf>
    <xf numFmtId="0" fontId="32" fillId="0" borderId="0" xfId="0" applyFont="1" applyAlignment="1">
      <alignment horizontal="justify"/>
    </xf>
    <xf numFmtId="0" fontId="32" fillId="0" borderId="0" xfId="0" applyFont="1" applyAlignment="1">
      <alignment horizontal="justify" vertical="center"/>
    </xf>
    <xf numFmtId="0" fontId="32" fillId="0" borderId="1" xfId="0" applyFont="1" applyBorder="1" applyAlignment="1">
      <alignment horizontal="justify"/>
    </xf>
    <xf numFmtId="0" fontId="32" fillId="0" borderId="0" xfId="0" applyFont="1" applyAlignment="1">
      <alignment horizontal="justify" vertical="center" wrapText="1"/>
    </xf>
    <xf numFmtId="0" fontId="32" fillId="0" borderId="0" xfId="0" applyFont="1" applyAlignment="1">
      <alignment horizontal="left"/>
    </xf>
    <xf numFmtId="0" fontId="32" fillId="0" borderId="11" xfId="0" applyFont="1" applyBorder="1" applyAlignment="1">
      <alignment horizontal="center"/>
    </xf>
    <xf numFmtId="0" fontId="32" fillId="0" borderId="0" xfId="0" applyFont="1" applyAlignment="1">
      <alignment horizontal="center"/>
    </xf>
    <xf numFmtId="0" fontId="11" fillId="3" borderId="1" xfId="0" applyFont="1" applyFill="1" applyBorder="1" applyAlignment="1">
      <alignment horizontal="center" vertical="center" wrapText="1"/>
    </xf>
    <xf numFmtId="0" fontId="18" fillId="0" borderId="0" xfId="0" applyFont="1" applyAlignment="1">
      <alignment vertical="top"/>
    </xf>
    <xf numFmtId="0" fontId="19" fillId="0" borderId="0" xfId="0" applyFont="1" applyAlignment="1">
      <alignment horizontal="left" vertical="center" wrapText="1"/>
    </xf>
    <xf numFmtId="0" fontId="19" fillId="0" borderId="0" xfId="0" applyFont="1" applyAlignment="1">
      <alignment horizontal="right" vertical="center" wrapText="1"/>
    </xf>
    <xf numFmtId="0" fontId="0" fillId="0" borderId="0" xfId="0" applyAlignment="1">
      <alignment horizontal="left" vertical="center"/>
    </xf>
    <xf numFmtId="0" fontId="18" fillId="0" borderId="0" xfId="0" applyFont="1" applyAlignment="1">
      <alignment horizontal="left" vertical="center" wrapText="1"/>
    </xf>
    <xf numFmtId="0" fontId="18" fillId="0" borderId="0" xfId="0" applyFont="1" applyAlignment="1">
      <alignment horizontal="right"/>
    </xf>
    <xf numFmtId="0" fontId="12" fillId="6" borderId="1" xfId="0" applyFont="1" applyFill="1" applyBorder="1" applyAlignment="1">
      <alignment horizontal="left" vertical="center" wrapText="1"/>
    </xf>
    <xf numFmtId="0" fontId="12" fillId="6" borderId="1" xfId="0" applyFont="1" applyFill="1" applyBorder="1" applyAlignment="1">
      <alignment vertical="center" wrapText="1"/>
    </xf>
    <xf numFmtId="0" fontId="15" fillId="4" borderId="1" xfId="0" applyFont="1" applyFill="1" applyBorder="1" applyAlignment="1">
      <alignment horizontal="center" vertical="center" wrapText="1"/>
    </xf>
    <xf numFmtId="0" fontId="21" fillId="0" borderId="0" xfId="0" applyFont="1" applyAlignment="1">
      <alignment wrapText="1"/>
    </xf>
    <xf numFmtId="166" fontId="21" fillId="0" borderId="0" xfId="0" applyNumberFormat="1" applyFont="1"/>
    <xf numFmtId="0" fontId="20" fillId="0" borderId="0" xfId="0" applyFont="1" applyAlignment="1">
      <alignment vertical="center" wrapText="1"/>
    </xf>
    <xf numFmtId="0" fontId="20" fillId="0" borderId="0" xfId="0" applyFont="1" applyAlignment="1">
      <alignment horizontal="left"/>
    </xf>
    <xf numFmtId="0" fontId="14" fillId="0" borderId="0" xfId="0" applyFont="1" applyAlignment="1">
      <alignment horizontal="left"/>
    </xf>
    <xf numFmtId="14" fontId="15" fillId="4" borderId="1" xfId="0" applyNumberFormat="1" applyFont="1" applyFill="1" applyBorder="1" applyAlignment="1">
      <alignment horizontal="center" vertical="center" wrapText="1"/>
    </xf>
    <xf numFmtId="0" fontId="11" fillId="4" borderId="3" xfId="0" applyFont="1" applyFill="1" applyBorder="1" applyAlignment="1">
      <alignment vertical="center" wrapText="1"/>
    </xf>
    <xf numFmtId="49" fontId="15" fillId="4" borderId="1" xfId="0" applyNumberFormat="1" applyFont="1" applyFill="1" applyBorder="1" applyAlignment="1">
      <alignment horizontal="center" vertical="center" wrapText="1"/>
    </xf>
    <xf numFmtId="0" fontId="21" fillId="0" borderId="0" xfId="0" applyFont="1" applyAlignment="1">
      <alignment horizontal="center" vertical="top" wrapText="1"/>
    </xf>
    <xf numFmtId="0" fontId="45" fillId="2" borderId="1" xfId="0" applyFont="1" applyFill="1" applyBorder="1" applyAlignment="1">
      <alignment vertical="center" wrapText="1"/>
    </xf>
    <xf numFmtId="0" fontId="11" fillId="9" borderId="1" xfId="0" applyFont="1" applyFill="1" applyBorder="1" applyAlignment="1">
      <alignment vertical="center" wrapText="1"/>
    </xf>
    <xf numFmtId="0" fontId="9" fillId="0" borderId="0" xfId="0" applyFont="1"/>
    <xf numFmtId="0" fontId="46" fillId="0" borderId="0" xfId="0" applyFont="1" applyAlignment="1">
      <alignment vertical="center"/>
    </xf>
    <xf numFmtId="0" fontId="47" fillId="0" borderId="0" xfId="0" applyFont="1" applyAlignment="1">
      <alignment wrapText="1"/>
    </xf>
    <xf numFmtId="0" fontId="13" fillId="0" borderId="0" xfId="0" applyFont="1" applyAlignment="1">
      <alignment wrapText="1"/>
    </xf>
    <xf numFmtId="0" fontId="49" fillId="0" borderId="0" xfId="0" applyFont="1"/>
    <xf numFmtId="0" fontId="14" fillId="0" borderId="0" xfId="0" applyFont="1" applyAlignment="1">
      <alignment horizontal="left" vertical="center" wrapText="1"/>
    </xf>
    <xf numFmtId="0" fontId="13" fillId="0" borderId="0" xfId="0" applyFont="1" applyAlignment="1">
      <alignment horizontal="left" vertical="top" wrapText="1"/>
    </xf>
    <xf numFmtId="0" fontId="35" fillId="0" borderId="0" xfId="0" applyFont="1" applyAlignment="1">
      <alignment horizontal="left"/>
    </xf>
    <xf numFmtId="0" fontId="14" fillId="0" borderId="0" xfId="0" applyFont="1" applyAlignment="1">
      <alignment horizontal="left" vertical="top" wrapText="1"/>
    </xf>
    <xf numFmtId="49" fontId="13" fillId="0" borderId="0" xfId="0" applyNumberFormat="1" applyFont="1" applyAlignment="1">
      <alignment horizontal="left" vertical="top" wrapText="1"/>
    </xf>
    <xf numFmtId="0" fontId="11" fillId="5" borderId="1" xfId="0" applyFont="1" applyFill="1" applyBorder="1" applyAlignment="1">
      <alignment vertical="center" wrapText="1"/>
    </xf>
    <xf numFmtId="0" fontId="18" fillId="0" borderId="0" xfId="0" applyFont="1" applyAlignment="1">
      <alignment horizontal="left"/>
    </xf>
    <xf numFmtId="14" fontId="11"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33"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165" fontId="53" fillId="4" borderId="1" xfId="1" applyFont="1" applyFill="1" applyBorder="1" applyAlignment="1">
      <alignment vertical="center" wrapText="1"/>
    </xf>
    <xf numFmtId="0" fontId="18" fillId="11" borderId="0" xfId="0" applyFont="1" applyFill="1"/>
    <xf numFmtId="0" fontId="11" fillId="10" borderId="0" xfId="0" applyFont="1" applyFill="1"/>
    <xf numFmtId="0" fontId="12" fillId="10" borderId="0" xfId="0" applyFont="1" applyFill="1" applyAlignment="1">
      <alignment vertical="center" wrapText="1"/>
    </xf>
    <xf numFmtId="49" fontId="11" fillId="10" borderId="0" xfId="0" applyNumberFormat="1" applyFont="1" applyFill="1"/>
    <xf numFmtId="0" fontId="11" fillId="10" borderId="0" xfId="0" applyFont="1" applyFill="1" applyAlignment="1">
      <alignment vertical="center" wrapText="1"/>
    </xf>
    <xf numFmtId="49" fontId="33" fillId="4" borderId="1" xfId="0" applyNumberFormat="1" applyFont="1" applyFill="1" applyBorder="1" applyAlignment="1">
      <alignment vertical="center" wrapText="1"/>
    </xf>
    <xf numFmtId="0" fontId="12" fillId="2" borderId="13" xfId="0" applyFont="1" applyFill="1" applyBorder="1" applyAlignment="1">
      <alignment vertical="center" wrapText="1"/>
    </xf>
    <xf numFmtId="0" fontId="11" fillId="0" borderId="13" xfId="0" applyFont="1" applyBorder="1" applyAlignment="1">
      <alignment vertical="center" wrapText="1"/>
    </xf>
    <xf numFmtId="0" fontId="50" fillId="12" borderId="25" xfId="0" applyFont="1" applyFill="1" applyBorder="1" applyAlignment="1">
      <alignment vertical="center" wrapText="1"/>
    </xf>
    <xf numFmtId="0" fontId="50" fillId="12" borderId="27" xfId="0" applyFont="1" applyFill="1" applyBorder="1" applyAlignment="1">
      <alignment vertical="center" wrapText="1"/>
    </xf>
    <xf numFmtId="165" fontId="11" fillId="12" borderId="28" xfId="1" applyFont="1" applyFill="1" applyBorder="1" applyAlignment="1">
      <alignment vertical="center" wrapText="1"/>
    </xf>
    <xf numFmtId="0" fontId="12" fillId="12" borderId="29" xfId="0" applyFont="1" applyFill="1" applyBorder="1" applyAlignment="1">
      <alignment vertical="center" wrapText="1"/>
    </xf>
    <xf numFmtId="165" fontId="11" fillId="12" borderId="30" xfId="1" applyFont="1" applyFill="1" applyBorder="1" applyAlignment="1">
      <alignment vertical="center" wrapText="1"/>
    </xf>
    <xf numFmtId="0" fontId="19" fillId="0" borderId="0" xfId="0" applyFont="1" applyAlignment="1">
      <alignment horizontal="left" wrapText="1"/>
    </xf>
    <xf numFmtId="0" fontId="13" fillId="0" borderId="0" xfId="0" applyFont="1" applyAlignment="1">
      <alignment vertical="center" wrapText="1"/>
    </xf>
    <xf numFmtId="0" fontId="12" fillId="2" borderId="1" xfId="0" applyFont="1" applyFill="1" applyBorder="1" applyAlignment="1">
      <alignment horizontal="left" vertical="center" wrapText="1"/>
    </xf>
    <xf numFmtId="0" fontId="56" fillId="0" borderId="0" xfId="0" applyFont="1" applyAlignment="1" applyProtection="1">
      <alignment horizontal="center" vertical="center"/>
      <protection hidden="1"/>
    </xf>
    <xf numFmtId="0" fontId="57" fillId="0" borderId="0" xfId="0" applyFont="1" applyAlignment="1" applyProtection="1">
      <alignment horizontal="center" vertical="center"/>
      <protection hidden="1"/>
    </xf>
    <xf numFmtId="0" fontId="22" fillId="0" borderId="0" xfId="0" applyFont="1" applyAlignment="1">
      <alignment horizontal="center"/>
    </xf>
    <xf numFmtId="0" fontId="13" fillId="0" borderId="0" xfId="0" applyFont="1" applyAlignment="1">
      <alignment horizontal="left" vertical="center" wrapText="1"/>
    </xf>
    <xf numFmtId="0" fontId="13" fillId="0" borderId="0" xfId="0" applyFont="1" applyAlignment="1">
      <alignment horizontal="center"/>
    </xf>
    <xf numFmtId="0" fontId="58" fillId="4" borderId="1" xfId="0" applyFont="1" applyFill="1" applyBorder="1" applyAlignment="1">
      <alignment vertical="center" wrapText="1"/>
    </xf>
    <xf numFmtId="0" fontId="58" fillId="6" borderId="1" xfId="0" applyFont="1" applyFill="1" applyBorder="1" applyAlignment="1">
      <alignment vertical="center" wrapText="1"/>
    </xf>
    <xf numFmtId="170" fontId="58" fillId="4" borderId="1" xfId="0" applyNumberFormat="1" applyFont="1" applyFill="1" applyBorder="1" applyAlignment="1">
      <alignment vertical="center" wrapText="1"/>
    </xf>
    <xf numFmtId="0" fontId="59" fillId="4" borderId="1" xfId="0" applyFont="1" applyFill="1" applyBorder="1" applyAlignment="1">
      <alignment vertical="center" wrapText="1"/>
    </xf>
    <xf numFmtId="0" fontId="58" fillId="0" borderId="1" xfId="0" applyFont="1" applyBorder="1" applyAlignment="1">
      <alignment vertical="center" wrapText="1"/>
    </xf>
    <xf numFmtId="165" fontId="58" fillId="4" borderId="1" xfId="1" applyFont="1" applyFill="1" applyBorder="1" applyAlignment="1">
      <alignment vertical="center" wrapText="1"/>
    </xf>
    <xf numFmtId="171" fontId="58" fillId="4" borderId="1" xfId="0" applyNumberFormat="1" applyFont="1" applyFill="1" applyBorder="1" applyAlignment="1">
      <alignment vertical="center" wrapText="1"/>
    </xf>
    <xf numFmtId="0" fontId="13" fillId="5" borderId="0" xfId="0" applyFont="1" applyFill="1"/>
    <xf numFmtId="0" fontId="19" fillId="0" borderId="0" xfId="0" applyFont="1" applyAlignment="1">
      <alignment horizontal="left"/>
    </xf>
    <xf numFmtId="0" fontId="19" fillId="0" borderId="0" xfId="0" applyFont="1" applyAlignment="1">
      <alignment wrapText="1"/>
    </xf>
    <xf numFmtId="0" fontId="19" fillId="0" borderId="0" xfId="0" applyFont="1" applyAlignment="1">
      <alignment vertical="top" wrapText="1"/>
    </xf>
    <xf numFmtId="0" fontId="14" fillId="0" borderId="0" xfId="0" applyFont="1" applyAlignment="1">
      <alignment wrapText="1"/>
    </xf>
    <xf numFmtId="0" fontId="20" fillId="0" borderId="0" xfId="0" applyFont="1" applyAlignment="1">
      <alignment vertical="center"/>
    </xf>
    <xf numFmtId="0" fontId="16" fillId="0" borderId="0" xfId="0" applyFont="1" applyAlignment="1" applyProtection="1">
      <alignment horizontal="center" vertical="center"/>
      <protection hidden="1"/>
    </xf>
    <xf numFmtId="0" fontId="14" fillId="0" borderId="0" xfId="0" applyFont="1" applyAlignment="1">
      <alignment horizontal="center" vertical="center"/>
    </xf>
    <xf numFmtId="0" fontId="14" fillId="0" borderId="0" xfId="0" applyFont="1" applyAlignment="1">
      <alignment horizontal="right" wrapText="1"/>
    </xf>
    <xf numFmtId="0" fontId="60" fillId="0" borderId="0" xfId="0" applyFont="1"/>
    <xf numFmtId="0" fontId="13" fillId="0" borderId="0" xfId="0" applyFont="1" applyAlignment="1">
      <alignment horizontal="right"/>
    </xf>
    <xf numFmtId="49" fontId="13" fillId="0" borderId="0" xfId="0" applyNumberFormat="1" applyFont="1" applyAlignment="1">
      <alignment horizontal="right"/>
    </xf>
    <xf numFmtId="0" fontId="13" fillId="0" borderId="0" xfId="0" applyFont="1" applyAlignment="1">
      <alignment horizontal="left" wrapText="1"/>
    </xf>
    <xf numFmtId="0" fontId="11" fillId="10" borderId="1" xfId="0" applyFont="1" applyFill="1" applyBorder="1"/>
    <xf numFmtId="0" fontId="11" fillId="10" borderId="1" xfId="0" applyFont="1" applyFill="1" applyBorder="1" applyAlignment="1">
      <alignment wrapText="1"/>
    </xf>
    <xf numFmtId="10" fontId="33" fillId="10" borderId="0" xfId="287" applyNumberFormat="1" applyFont="1" applyFill="1" applyAlignment="1">
      <alignment horizontal="center"/>
    </xf>
    <xf numFmtId="0" fontId="33" fillId="10" borderId="0" xfId="0" applyFont="1" applyFill="1" applyAlignment="1">
      <alignment horizontal="center"/>
    </xf>
    <xf numFmtId="0" fontId="33" fillId="10" borderId="0" xfId="0" applyFont="1" applyFill="1"/>
    <xf numFmtId="14" fontId="11" fillId="10" borderId="0" xfId="0" applyNumberFormat="1" applyFont="1" applyFill="1"/>
    <xf numFmtId="169" fontId="12" fillId="10" borderId="0" xfId="0" applyNumberFormat="1" applyFont="1" applyFill="1"/>
    <xf numFmtId="0" fontId="11" fillId="10" borderId="19" xfId="0" applyFont="1" applyFill="1" applyBorder="1"/>
    <xf numFmtId="0" fontId="11" fillId="10" borderId="20" xfId="0" applyFont="1" applyFill="1" applyBorder="1"/>
    <xf numFmtId="0" fontId="15" fillId="10" borderId="1" xfId="0" applyFont="1" applyFill="1" applyBorder="1" applyAlignment="1">
      <alignment horizontal="center" vertical="center" wrapText="1"/>
    </xf>
    <xf numFmtId="0" fontId="11" fillId="10" borderId="1" xfId="0" applyFont="1" applyFill="1" applyBorder="1" applyAlignment="1">
      <alignment horizontal="center" vertical="center"/>
    </xf>
    <xf numFmtId="0" fontId="11" fillId="10" borderId="1" xfId="0" applyFont="1" applyFill="1" applyBorder="1" applyAlignment="1">
      <alignment horizontal="center" vertical="center" wrapText="1"/>
    </xf>
    <xf numFmtId="0" fontId="11" fillId="10" borderId="1" xfId="0" applyFont="1" applyFill="1" applyBorder="1" applyAlignment="1">
      <alignment horizontal="left" vertical="center"/>
    </xf>
    <xf numFmtId="0" fontId="11" fillId="10" borderId="1" xfId="0" applyFont="1" applyFill="1" applyBorder="1" applyAlignment="1">
      <alignment horizontal="left" vertical="center" wrapText="1"/>
    </xf>
    <xf numFmtId="0" fontId="11" fillId="10" borderId="1" xfId="0" applyFont="1" applyFill="1" applyBorder="1" applyAlignment="1">
      <alignment vertical="center" wrapText="1"/>
    </xf>
    <xf numFmtId="0" fontId="12" fillId="10" borderId="0" xfId="0" applyFont="1" applyFill="1" applyAlignment="1">
      <alignment vertical="center"/>
    </xf>
    <xf numFmtId="0" fontId="11" fillId="10" borderId="13" xfId="0" applyFont="1" applyFill="1" applyBorder="1" applyAlignment="1">
      <alignment vertical="center"/>
    </xf>
    <xf numFmtId="0" fontId="11" fillId="10" borderId="15" xfId="0" applyFont="1" applyFill="1" applyBorder="1" applyAlignment="1">
      <alignment vertical="center"/>
    </xf>
    <xf numFmtId="14" fontId="11" fillId="10" borderId="1" xfId="0" applyNumberFormat="1" applyFont="1" applyFill="1" applyBorder="1"/>
    <xf numFmtId="0" fontId="12" fillId="10" borderId="0" xfId="0" applyFont="1" applyFill="1"/>
    <xf numFmtId="49" fontId="11" fillId="10" borderId="1" xfId="0" applyNumberFormat="1" applyFont="1" applyFill="1" applyBorder="1"/>
    <xf numFmtId="0" fontId="12" fillId="10" borderId="0" xfId="0" applyFont="1" applyFill="1" applyAlignment="1">
      <alignment wrapText="1"/>
    </xf>
    <xf numFmtId="43" fontId="11" fillId="10" borderId="1" xfId="0" applyNumberFormat="1" applyFont="1" applyFill="1" applyBorder="1" applyAlignment="1">
      <alignment vertical="center" wrapText="1"/>
    </xf>
    <xf numFmtId="43" fontId="11" fillId="10" borderId="0" xfId="0" applyNumberFormat="1" applyFont="1" applyFill="1" applyAlignment="1">
      <alignment vertical="center" wrapText="1"/>
    </xf>
    <xf numFmtId="0" fontId="18" fillId="0" borderId="0" xfId="0" applyFont="1" applyAlignment="1">
      <alignment vertical="center"/>
    </xf>
    <xf numFmtId="0" fontId="18" fillId="0" borderId="0" xfId="0" applyFont="1" applyAlignment="1">
      <alignment horizontal="right" vertical="center"/>
    </xf>
    <xf numFmtId="0" fontId="19" fillId="0" borderId="0" xfId="0" applyFont="1" applyAlignment="1">
      <alignment vertical="center"/>
    </xf>
    <xf numFmtId="0" fontId="61" fillId="4" borderId="0" xfId="0" applyFont="1" applyFill="1"/>
    <xf numFmtId="0" fontId="61" fillId="4" borderId="0" xfId="0" applyFont="1" applyFill="1" applyAlignment="1">
      <alignment vertical="center"/>
    </xf>
    <xf numFmtId="0" fontId="5" fillId="12" borderId="26" xfId="0" applyFont="1" applyFill="1" applyBorder="1" applyAlignment="1">
      <alignment vertical="center" wrapText="1"/>
    </xf>
    <xf numFmtId="14" fontId="13" fillId="0" borderId="0" xfId="0" applyNumberFormat="1" applyFont="1"/>
    <xf numFmtId="0" fontId="33" fillId="6" borderId="1" xfId="0" applyFont="1" applyFill="1" applyBorder="1" applyAlignment="1">
      <alignment vertical="center" wrapText="1"/>
    </xf>
    <xf numFmtId="0" fontId="2" fillId="4" borderId="1" xfId="0" applyFont="1" applyFill="1" applyBorder="1" applyAlignment="1">
      <alignment vertical="center" wrapText="1"/>
    </xf>
    <xf numFmtId="49" fontId="2" fillId="4" borderId="1" xfId="0" applyNumberFormat="1" applyFont="1" applyFill="1" applyBorder="1" applyAlignment="1">
      <alignment vertical="center" wrapText="1"/>
    </xf>
    <xf numFmtId="0" fontId="2" fillId="0" borderId="1" xfId="0" applyFont="1" applyBorder="1" applyAlignment="1">
      <alignment vertical="center" wrapText="1"/>
    </xf>
    <xf numFmtId="0" fontId="12" fillId="3" borderId="31" xfId="0" applyFont="1" applyFill="1" applyBorder="1" applyAlignment="1">
      <alignment vertical="center" wrapText="1"/>
    </xf>
    <xf numFmtId="4" fontId="11" fillId="3" borderId="19" xfId="0" applyNumberFormat="1" applyFont="1" applyFill="1" applyBorder="1" applyAlignment="1">
      <alignment vertical="center" wrapText="1"/>
    </xf>
    <xf numFmtId="0" fontId="30" fillId="10" borderId="0" xfId="0" applyFont="1" applyFill="1"/>
    <xf numFmtId="4" fontId="58" fillId="0" borderId="1" xfId="0" applyNumberFormat="1" applyFont="1" applyBorder="1" applyAlignment="1">
      <alignment vertical="center" wrapText="1"/>
    </xf>
    <xf numFmtId="165" fontId="30" fillId="10" borderId="0" xfId="0" applyNumberFormat="1" applyFont="1" applyFill="1"/>
    <xf numFmtId="14" fontId="30" fillId="10" borderId="0" xfId="0" applyNumberFormat="1" applyFont="1" applyFill="1"/>
    <xf numFmtId="4" fontId="30" fillId="10" borderId="0" xfId="0" applyNumberFormat="1" applyFont="1" applyFill="1"/>
    <xf numFmtId="0" fontId="66" fillId="10" borderId="16" xfId="0" applyFont="1" applyFill="1" applyBorder="1"/>
    <xf numFmtId="43" fontId="30" fillId="10" borderId="3" xfId="0" applyNumberFormat="1" applyFont="1" applyFill="1" applyBorder="1" applyAlignment="1">
      <alignment horizontal="left" vertical="top" wrapText="1"/>
    </xf>
    <xf numFmtId="0" fontId="12" fillId="13" borderId="1" xfId="0" applyFont="1" applyFill="1" applyBorder="1" applyAlignment="1">
      <alignment horizontal="center" vertical="center" wrapText="1"/>
    </xf>
    <xf numFmtId="14" fontId="12" fillId="1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0" fontId="13" fillId="5" borderId="0" xfId="0" applyFont="1" applyFill="1" applyAlignment="1">
      <alignment horizontal="center" wrapText="1"/>
    </xf>
    <xf numFmtId="11" fontId="2" fillId="4" borderId="1" xfId="0" applyNumberFormat="1" applyFont="1" applyFill="1" applyBorder="1" applyAlignment="1">
      <alignment vertical="center" wrapText="1"/>
    </xf>
    <xf numFmtId="0" fontId="67" fillId="0" borderId="0" xfId="6044" applyAlignment="1">
      <alignment horizontal="left" vertical="top"/>
    </xf>
    <xf numFmtId="0" fontId="32" fillId="0" borderId="0" xfId="6044" applyFont="1" applyAlignment="1">
      <alignment vertical="top"/>
    </xf>
    <xf numFmtId="0" fontId="32" fillId="0" borderId="0" xfId="6044" applyFont="1" applyAlignment="1">
      <alignment horizontal="right" vertical="top"/>
    </xf>
    <xf numFmtId="0" fontId="57" fillId="0" borderId="33" xfId="6044" applyFont="1" applyBorder="1" applyAlignment="1">
      <alignment horizontal="left" vertical="top" wrapText="1"/>
    </xf>
    <xf numFmtId="0" fontId="67" fillId="0" borderId="33" xfId="6044" applyBorder="1" applyAlignment="1">
      <alignment horizontal="left" vertical="top" wrapText="1"/>
    </xf>
    <xf numFmtId="0" fontId="32" fillId="0" borderId="0" xfId="6044" applyFont="1" applyAlignment="1">
      <alignment horizontal="left" vertical="center"/>
    </xf>
    <xf numFmtId="0" fontId="77" fillId="0" borderId="0" xfId="6044" applyFont="1" applyAlignment="1">
      <alignment horizontal="left" vertical="top"/>
    </xf>
    <xf numFmtId="165" fontId="58" fillId="9" borderId="1" xfId="1" applyFont="1" applyFill="1" applyBorder="1" applyAlignment="1">
      <alignment vertical="center" wrapText="1"/>
    </xf>
    <xf numFmtId="14" fontId="2" fillId="4" borderId="1" xfId="0" applyNumberFormat="1" applyFont="1" applyFill="1" applyBorder="1" applyAlignment="1">
      <alignment vertical="center" wrapText="1"/>
    </xf>
    <xf numFmtId="49" fontId="2" fillId="4" borderId="1" xfId="0" applyNumberFormat="1" applyFont="1" applyFill="1" applyBorder="1" applyAlignment="1">
      <alignment horizontal="left" vertical="center" wrapText="1"/>
    </xf>
    <xf numFmtId="0" fontId="2" fillId="7" borderId="1" xfId="0" applyFont="1" applyFill="1" applyBorder="1" applyAlignment="1">
      <alignment vertical="center" wrapText="1"/>
    </xf>
    <xf numFmtId="0" fontId="2" fillId="10" borderId="0" xfId="0" applyFont="1" applyFill="1"/>
    <xf numFmtId="49" fontId="2" fillId="7" borderId="1" xfId="1" applyNumberFormat="1" applyFont="1" applyFill="1" applyBorder="1" applyAlignment="1">
      <alignment vertical="center" wrapText="1"/>
    </xf>
    <xf numFmtId="0" fontId="13" fillId="0" borderId="0" xfId="0" applyFont="1" applyAlignment="1">
      <alignment horizontal="justify" vertical="center"/>
    </xf>
    <xf numFmtId="0" fontId="2" fillId="5" borderId="0" xfId="0" applyFont="1" applyFill="1"/>
    <xf numFmtId="0" fontId="2" fillId="4" borderId="1" xfId="0" applyFont="1" applyFill="1" applyBorder="1" applyAlignment="1">
      <alignment horizontal="left" vertical="center" wrapText="1"/>
    </xf>
    <xf numFmtId="0" fontId="19" fillId="0" borderId="0" xfId="0" applyFont="1" applyAlignment="1">
      <alignment horizontal="left" vertical="center" wrapText="1"/>
    </xf>
    <xf numFmtId="0" fontId="18" fillId="0" borderId="0" xfId="0" applyFont="1" applyAlignment="1">
      <alignment horizontal="left" vertical="center" wrapText="1"/>
    </xf>
    <xf numFmtId="0" fontId="19" fillId="0" borderId="0" xfId="0" applyFont="1" applyAlignment="1">
      <alignment horizontal="center" vertical="center" wrapText="1"/>
    </xf>
    <xf numFmtId="0" fontId="18" fillId="0" borderId="0" xfId="0" applyFont="1" applyAlignment="1">
      <alignment horizontal="justify" vertical="top" wrapText="1"/>
    </xf>
    <xf numFmtId="0" fontId="18" fillId="0" borderId="0" xfId="0" applyFont="1" applyAlignment="1">
      <alignment horizontal="left" vertical="top" wrapText="1"/>
    </xf>
    <xf numFmtId="0" fontId="37" fillId="0" borderId="0" xfId="0" applyFont="1" applyAlignment="1">
      <alignment horizontal="center" vertical="center" wrapText="1"/>
    </xf>
    <xf numFmtId="0" fontId="48" fillId="0" borderId="0" xfId="0" applyFont="1" applyAlignment="1">
      <alignment horizontal="justify" vertical="top" wrapText="1"/>
    </xf>
    <xf numFmtId="0" fontId="2" fillId="0" borderId="19" xfId="0" applyFont="1" applyBorder="1" applyAlignment="1">
      <alignment vertical="center" wrapText="1"/>
    </xf>
    <xf numFmtId="0" fontId="2" fillId="0" borderId="0" xfId="0" applyFont="1" applyAlignment="1">
      <alignment vertical="center"/>
    </xf>
    <xf numFmtId="0" fontId="12" fillId="2" borderId="15"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21" fillId="0" borderId="0" xfId="0" applyFont="1" applyAlignment="1">
      <alignment horizontal="justify" vertical="top" wrapText="1"/>
    </xf>
    <xf numFmtId="0" fontId="21" fillId="0" borderId="0" xfId="0" applyFont="1" applyAlignment="1">
      <alignment horizontal="center" vertical="top" wrapText="1"/>
    </xf>
    <xf numFmtId="0" fontId="21" fillId="0" borderId="4" xfId="0" applyFont="1" applyBorder="1" applyAlignment="1">
      <alignment horizontal="center" vertical="top" wrapText="1"/>
    </xf>
    <xf numFmtId="49" fontId="21" fillId="0" borderId="0" xfId="0" applyNumberFormat="1" applyFont="1" applyAlignment="1">
      <alignment horizontal="center" vertical="center" wrapText="1"/>
    </xf>
    <xf numFmtId="0" fontId="20" fillId="0" borderId="0" xfId="0" applyFont="1" applyAlignment="1">
      <alignment horizontal="center" vertical="top" wrapText="1"/>
    </xf>
    <xf numFmtId="0" fontId="21" fillId="0" borderId="0" xfId="0" applyFont="1" applyAlignment="1">
      <alignment horizontal="left" vertical="top" wrapText="1"/>
    </xf>
    <xf numFmtId="0" fontId="32" fillId="0" borderId="0" xfId="0" applyFont="1" applyAlignment="1">
      <alignment horizontal="center"/>
    </xf>
    <xf numFmtId="0" fontId="32" fillId="0" borderId="3" xfId="0" applyFont="1" applyBorder="1" applyAlignment="1">
      <alignment horizontal="justify" vertical="center" wrapText="1"/>
    </xf>
    <xf numFmtId="0" fontId="32" fillId="0" borderId="18" xfId="0" applyFont="1" applyBorder="1" applyAlignment="1">
      <alignment horizontal="justify" vertical="center" wrapText="1"/>
    </xf>
    <xf numFmtId="0" fontId="32" fillId="0" borderId="2" xfId="0" applyFont="1" applyBorder="1" applyAlignment="1">
      <alignment horizontal="justify" vertical="center" wrapText="1"/>
    </xf>
    <xf numFmtId="0" fontId="32" fillId="0" borderId="3" xfId="0" applyFont="1" applyBorder="1" applyAlignment="1">
      <alignment horizontal="justify" vertical="center"/>
    </xf>
    <xf numFmtId="0" fontId="32" fillId="0" borderId="2" xfId="0" applyFont="1" applyBorder="1" applyAlignment="1">
      <alignment horizontal="justify" vertical="center"/>
    </xf>
    <xf numFmtId="0" fontId="32" fillId="0" borderId="21" xfId="0" applyFont="1" applyBorder="1" applyAlignment="1">
      <alignment horizontal="justify" vertical="center"/>
    </xf>
    <xf numFmtId="0" fontId="32" fillId="0" borderId="17" xfId="0" applyFont="1" applyBorder="1" applyAlignment="1">
      <alignment horizontal="justify" vertical="center"/>
    </xf>
    <xf numFmtId="0" fontId="32" fillId="0" borderId="22" xfId="0" applyFont="1" applyBorder="1" applyAlignment="1">
      <alignment horizontal="justify" vertical="center"/>
    </xf>
    <xf numFmtId="0" fontId="32" fillId="0" borderId="20" xfId="0" applyFont="1" applyBorder="1" applyAlignment="1">
      <alignment horizontal="justify" vertical="center"/>
    </xf>
    <xf numFmtId="0" fontId="32" fillId="0" borderId="4" xfId="0" applyFont="1" applyBorder="1" applyAlignment="1">
      <alignment horizontal="justify" vertical="center"/>
    </xf>
    <xf numFmtId="0" fontId="32" fillId="0" borderId="23" xfId="0" applyFont="1" applyBorder="1" applyAlignment="1">
      <alignment horizontal="justify" vertical="center"/>
    </xf>
    <xf numFmtId="0" fontId="32" fillId="0" borderId="1" xfId="0" applyFont="1" applyBorder="1" applyAlignment="1">
      <alignment horizontal="justify" vertical="center" wrapText="1"/>
    </xf>
    <xf numFmtId="0" fontId="32" fillId="0" borderId="17" xfId="0" applyFont="1" applyBorder="1" applyAlignment="1">
      <alignment horizontal="justify" vertical="center" wrapText="1"/>
    </xf>
    <xf numFmtId="0" fontId="32" fillId="0" borderId="11" xfId="0" applyFont="1" applyBorder="1" applyAlignment="1">
      <alignment horizontal="justify"/>
    </xf>
    <xf numFmtId="0" fontId="32" fillId="0" borderId="0" xfId="0" applyFont="1" applyAlignment="1">
      <alignment horizontal="justify" vertical="center" wrapText="1"/>
    </xf>
    <xf numFmtId="0" fontId="13" fillId="0" borderId="0" xfId="0" applyFont="1" applyAlignment="1">
      <alignment horizontal="justify" wrapText="1"/>
    </xf>
    <xf numFmtId="0" fontId="14" fillId="0" borderId="0" xfId="0" applyFont="1" applyAlignment="1">
      <alignment horizontal="left" vertical="center" wrapText="1"/>
    </xf>
    <xf numFmtId="0" fontId="13" fillId="0" borderId="0" xfId="0" applyFont="1" applyAlignment="1">
      <alignment horizontal="justify" vertical="top" wrapText="1"/>
    </xf>
    <xf numFmtId="0" fontId="13" fillId="0" borderId="0" xfId="0" applyFont="1" applyAlignment="1">
      <alignment horizontal="left" vertical="top" wrapText="1"/>
    </xf>
    <xf numFmtId="0" fontId="14" fillId="0" borderId="0" xfId="0" applyFont="1" applyAlignment="1">
      <alignment horizontal="center"/>
    </xf>
    <xf numFmtId="0" fontId="14" fillId="0" borderId="0" xfId="0" applyFont="1" applyAlignment="1">
      <alignment horizontal="right" vertical="top" wrapText="1"/>
    </xf>
    <xf numFmtId="0" fontId="18" fillId="0" borderId="0" xfId="0" applyFont="1" applyAlignment="1">
      <alignment horizontal="center" vertical="center"/>
    </xf>
    <xf numFmtId="49" fontId="18" fillId="0" borderId="0" xfId="0" applyNumberFormat="1" applyFont="1" applyAlignment="1">
      <alignment horizontal="justify"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center" wrapText="1"/>
    </xf>
    <xf numFmtId="49" fontId="13" fillId="0" borderId="0" xfId="0" applyNumberFormat="1" applyFont="1" applyAlignment="1">
      <alignment horizontal="left" vertical="top" wrapText="1"/>
    </xf>
    <xf numFmtId="0" fontId="35" fillId="0" borderId="0" xfId="0" applyFont="1" applyAlignment="1">
      <alignment horizontal="left"/>
    </xf>
    <xf numFmtId="0" fontId="14" fillId="0" borderId="0" xfId="0" applyFont="1" applyAlignment="1">
      <alignment horizontal="center" vertical="top" wrapText="1"/>
    </xf>
    <xf numFmtId="0" fontId="13" fillId="0" borderId="0" xfId="0" applyFont="1" applyAlignment="1">
      <alignment vertical="top" wrapText="1"/>
    </xf>
    <xf numFmtId="0" fontId="32" fillId="5" borderId="0" xfId="0" applyFont="1" applyFill="1" applyAlignment="1">
      <alignment horizontal="left" vertical="top" wrapText="1"/>
    </xf>
    <xf numFmtId="0" fontId="35" fillId="0" borderId="0" xfId="0" applyFont="1" applyAlignment="1">
      <alignment horizontal="center" vertical="top" wrapText="1"/>
    </xf>
    <xf numFmtId="0" fontId="13" fillId="5" borderId="0" xfId="0" applyFont="1" applyFill="1" applyAlignment="1">
      <alignment horizontal="left" vertical="top" wrapText="1"/>
    </xf>
    <xf numFmtId="0" fontId="19" fillId="0" borderId="0" xfId="0" applyFont="1" applyAlignment="1">
      <alignment horizontal="right"/>
    </xf>
    <xf numFmtId="0" fontId="19" fillId="0" borderId="0" xfId="0" applyFont="1" applyAlignment="1">
      <alignment horizont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xf>
    <xf numFmtId="0" fontId="19" fillId="0" borderId="0" xfId="0" applyFont="1" applyAlignment="1">
      <alignment horizontal="right" vertical="center" wrapText="1"/>
    </xf>
    <xf numFmtId="0" fontId="24" fillId="0" borderId="0" xfId="0" applyFont="1" applyAlignment="1">
      <alignment horizontal="center" vertical="center" wrapText="1"/>
    </xf>
    <xf numFmtId="0" fontId="19" fillId="0" borderId="0" xfId="0" applyFont="1" applyAlignment="1">
      <alignment horizontal="center" wrapText="1"/>
    </xf>
    <xf numFmtId="0" fontId="18" fillId="0" borderId="0" xfId="0" applyFont="1" applyAlignment="1">
      <alignment horizontal="center" vertical="top" wrapText="1"/>
    </xf>
    <xf numFmtId="0" fontId="54" fillId="0" borderId="0" xfId="0" applyFont="1" applyAlignment="1">
      <alignment horizontal="center" wrapText="1"/>
    </xf>
    <xf numFmtId="0" fontId="18" fillId="0" borderId="0" xfId="0" applyFont="1" applyAlignment="1">
      <alignment horizontal="center"/>
    </xf>
    <xf numFmtId="0" fontId="18" fillId="0" borderId="0" xfId="0" applyFont="1" applyAlignment="1">
      <alignment horizontal="left" wrapText="1"/>
    </xf>
    <xf numFmtId="0" fontId="23" fillId="0" borderId="0" xfId="0" applyFont="1" applyAlignment="1">
      <alignment horizontal="center" vertical="top" wrapText="1"/>
    </xf>
    <xf numFmtId="0" fontId="18" fillId="0" borderId="0" xfId="0" applyFont="1" applyAlignment="1">
      <alignment horizontal="center" wrapText="1"/>
    </xf>
    <xf numFmtId="0" fontId="13" fillId="8" borderId="0" xfId="0" applyFont="1" applyFill="1" applyAlignment="1">
      <alignment horizontal="justify" vertical="top" wrapText="1"/>
    </xf>
    <xf numFmtId="0" fontId="13" fillId="0" borderId="0" xfId="0" applyFont="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37" fillId="0" borderId="0" xfId="0" applyFont="1" applyAlignment="1">
      <alignment horizontal="center" vertical="top" wrapText="1"/>
    </xf>
    <xf numFmtId="0" fontId="29" fillId="0" borderId="0" xfId="0" applyFont="1" applyAlignment="1">
      <alignment horizontal="right" vertical="top"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37" fillId="0" borderId="0" xfId="0" applyFont="1" applyAlignment="1">
      <alignment horizontal="left" vertical="center" wrapText="1"/>
    </xf>
    <xf numFmtId="0" fontId="37" fillId="0" borderId="0" xfId="0" applyFont="1" applyAlignment="1">
      <alignment horizontal="right"/>
    </xf>
    <xf numFmtId="0" fontId="37" fillId="0" borderId="0" xfId="0" applyFont="1" applyAlignment="1">
      <alignment horizontal="center"/>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31" fillId="0" borderId="1" xfId="0" applyFont="1" applyBorder="1" applyAlignment="1">
      <alignment horizontal="center"/>
    </xf>
    <xf numFmtId="0" fontId="31" fillId="0" borderId="0" xfId="0" applyFont="1" applyAlignment="1">
      <alignment horizontal="center" vertical="top" wrapText="1"/>
    </xf>
    <xf numFmtId="0" fontId="31" fillId="0" borderId="0" xfId="0" applyFont="1" applyAlignment="1">
      <alignment horizontal="justify" vertical="top" wrapText="1"/>
    </xf>
    <xf numFmtId="0" fontId="38" fillId="0" borderId="0" xfId="0" applyFont="1" applyAlignment="1">
      <alignment horizontal="center" vertical="center" wrapText="1"/>
    </xf>
    <xf numFmtId="0" fontId="37" fillId="0" borderId="0" xfId="0" applyFont="1" applyAlignment="1">
      <alignment horizontal="center" wrapText="1"/>
    </xf>
    <xf numFmtId="0" fontId="31" fillId="0" borderId="0" xfId="0" applyFont="1" applyAlignment="1">
      <alignment horizontal="center"/>
    </xf>
    <xf numFmtId="0" fontId="31" fillId="0" borderId="0" xfId="0" applyFont="1" applyAlignment="1">
      <alignment horizontal="left" wrapText="1"/>
    </xf>
    <xf numFmtId="0" fontId="39" fillId="0" borderId="0" xfId="0" applyFont="1" applyAlignment="1">
      <alignment horizontal="center" vertical="top" wrapText="1"/>
    </xf>
    <xf numFmtId="0" fontId="31" fillId="0" borderId="0" xfId="0" applyFont="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27" fillId="0" borderId="8" xfId="0" applyFont="1" applyBorder="1" applyAlignment="1">
      <alignment horizontal="center" wrapText="1"/>
    </xf>
    <xf numFmtId="0" fontId="27" fillId="0" borderId="0" xfId="0" applyFont="1" applyAlignment="1">
      <alignment horizontal="center" wrapText="1"/>
    </xf>
    <xf numFmtId="0" fontId="27" fillId="0" borderId="9" xfId="0" applyFont="1" applyBorder="1" applyAlignment="1">
      <alignment horizontal="center" wrapText="1"/>
    </xf>
    <xf numFmtId="0" fontId="28" fillId="0" borderId="5" xfId="0" applyFont="1" applyBorder="1" applyAlignment="1">
      <alignment horizontal="center" wrapText="1"/>
    </xf>
    <xf numFmtId="0" fontId="28" fillId="0" borderId="6" xfId="0" applyFont="1" applyBorder="1" applyAlignment="1">
      <alignment horizontal="center" wrapText="1"/>
    </xf>
    <xf numFmtId="0" fontId="28" fillId="0" borderId="7" xfId="0" applyFont="1" applyBorder="1" applyAlignment="1">
      <alignment horizontal="center" wrapText="1"/>
    </xf>
    <xf numFmtId="0" fontId="36" fillId="0" borderId="8" xfId="0" applyFont="1" applyBorder="1" applyAlignment="1">
      <alignment horizontal="center" wrapText="1"/>
    </xf>
    <xf numFmtId="0" fontId="36" fillId="0" borderId="0" xfId="0" applyFont="1" applyAlignment="1">
      <alignment horizontal="center" wrapText="1"/>
    </xf>
    <xf numFmtId="0" fontId="36" fillId="0" borderId="9" xfId="0" applyFont="1" applyBorder="1" applyAlignment="1">
      <alignment horizontal="center" wrapText="1"/>
    </xf>
    <xf numFmtId="0" fontId="19" fillId="0" borderId="10" xfId="0" applyFont="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8" xfId="0" applyFont="1" applyBorder="1" applyAlignment="1">
      <alignment horizontal="left" wrapText="1"/>
    </xf>
    <xf numFmtId="0" fontId="19" fillId="0" borderId="0" xfId="0" applyFont="1" applyAlignment="1">
      <alignment horizontal="left" wrapText="1"/>
    </xf>
    <xf numFmtId="0" fontId="19" fillId="0" borderId="9" xfId="0" applyFont="1" applyBorder="1" applyAlignment="1">
      <alignment horizontal="left" wrapText="1"/>
    </xf>
    <xf numFmtId="0" fontId="67" fillId="0" borderId="34" xfId="6044" applyBorder="1" applyAlignment="1">
      <alignment horizontal="left" vertical="top" wrapText="1"/>
    </xf>
    <xf numFmtId="0" fontId="67" fillId="0" borderId="35" xfId="6044" applyBorder="1" applyAlignment="1">
      <alignment horizontal="left" vertical="top" wrapText="1"/>
    </xf>
    <xf numFmtId="0" fontId="68" fillId="0" borderId="0" xfId="6044" applyFont="1" applyAlignment="1">
      <alignment horizontal="center"/>
    </xf>
    <xf numFmtId="0" fontId="67" fillId="0" borderId="0" xfId="6044" applyAlignment="1">
      <alignment horizontal="center"/>
    </xf>
    <xf numFmtId="0" fontId="69" fillId="0" borderId="0" xfId="6044" applyFont="1" applyAlignment="1">
      <alignment horizontal="center" vertical="top"/>
    </xf>
    <xf numFmtId="0" fontId="57" fillId="0" borderId="0" xfId="6044" applyFont="1" applyAlignment="1">
      <alignment horizontal="left" vertical="top"/>
    </xf>
    <xf numFmtId="0" fontId="72" fillId="0" borderId="0" xfId="6044" applyFont="1" applyAlignment="1">
      <alignment horizontal="left" vertical="top" wrapText="1"/>
    </xf>
    <xf numFmtId="0" fontId="71" fillId="0" borderId="32" xfId="6044" applyFont="1" applyBorder="1" applyAlignment="1">
      <alignment horizontal="left" vertical="top" wrapText="1"/>
    </xf>
    <xf numFmtId="0" fontId="67" fillId="0" borderId="32" xfId="6044" applyBorder="1" applyAlignment="1">
      <alignment horizontal="left" vertical="top" wrapText="1"/>
    </xf>
    <xf numFmtId="9" fontId="32" fillId="0" borderId="34" xfId="6044" applyNumberFormat="1" applyFont="1" applyBorder="1" applyAlignment="1">
      <alignment horizontal="left" vertical="top" wrapText="1"/>
    </xf>
    <xf numFmtId="0" fontId="32" fillId="0" borderId="35" xfId="6044" applyFont="1" applyBorder="1" applyAlignment="1">
      <alignment horizontal="left" vertical="top" wrapText="1"/>
    </xf>
    <xf numFmtId="0" fontId="67" fillId="0" borderId="0" xfId="6044" applyAlignment="1">
      <alignment horizontal="left" vertical="top" wrapText="1"/>
    </xf>
    <xf numFmtId="0" fontId="13" fillId="0" borderId="0" xfId="0" applyFont="1" applyAlignment="1">
      <alignment horizontal="left" vertical="center" wrapText="1"/>
    </xf>
    <xf numFmtId="0" fontId="14" fillId="0" borderId="0" xfId="0" applyFont="1" applyAlignment="1">
      <alignment horizontal="left" vertical="top" wrapText="1"/>
    </xf>
    <xf numFmtId="0" fontId="14" fillId="0" borderId="0" xfId="0" applyFont="1" applyAlignment="1">
      <alignment horizontal="right" vertical="center"/>
    </xf>
    <xf numFmtId="0" fontId="41" fillId="0" borderId="0" xfId="0" applyFont="1" applyAlignment="1">
      <alignment horizontal="justify" vertical="top" wrapText="1"/>
    </xf>
    <xf numFmtId="0" fontId="41" fillId="0" borderId="0" xfId="0" applyFont="1" applyAlignment="1">
      <alignment horizontal="justify" vertical="center" wrapText="1"/>
    </xf>
    <xf numFmtId="0" fontId="18" fillId="0" borderId="0" xfId="0" applyFont="1" applyAlignment="1">
      <alignment horizontal="left"/>
    </xf>
    <xf numFmtId="0" fontId="42" fillId="0" borderId="0" xfId="0" applyFont="1" applyAlignment="1">
      <alignment vertical="center" wrapText="1"/>
    </xf>
    <xf numFmtId="0" fontId="18" fillId="0" borderId="0" xfId="0" applyFont="1" applyAlignment="1">
      <alignment vertical="top" wrapText="1"/>
    </xf>
    <xf numFmtId="0" fontId="42" fillId="0" borderId="0" xfId="0" applyFont="1" applyAlignment="1">
      <alignment horizontal="justify" vertical="center" wrapText="1"/>
    </xf>
    <xf numFmtId="0" fontId="21" fillId="0" borderId="0" xfId="0" applyFont="1" applyAlignment="1">
      <alignment horizontal="left" wrapText="1"/>
    </xf>
    <xf numFmtId="0" fontId="21" fillId="0" borderId="1" xfId="0" applyFont="1" applyBorder="1" applyAlignment="1">
      <alignment horizontal="center" vertical="center" wrapText="1"/>
    </xf>
    <xf numFmtId="0" fontId="21" fillId="0" borderId="0" xfId="0" applyFont="1" applyAlignment="1">
      <alignment horizontal="left"/>
    </xf>
    <xf numFmtId="0" fontId="20" fillId="8" borderId="3"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0" borderId="0" xfId="0" applyFont="1" applyAlignment="1">
      <alignment horizontal="center" wrapText="1"/>
    </xf>
    <xf numFmtId="0" fontId="44" fillId="0" borderId="0" xfId="0" applyFont="1" applyAlignment="1">
      <alignment horizontal="left" vertical="center" wrapText="1" readingOrder="1"/>
    </xf>
    <xf numFmtId="0" fontId="21" fillId="0" borderId="0" xfId="0" applyFont="1" applyAlignment="1">
      <alignment horizontal="justify" vertical="top" wrapText="1" readingOrder="1"/>
    </xf>
    <xf numFmtId="0" fontId="20" fillId="0" borderId="4" xfId="0" applyFont="1" applyBorder="1" applyAlignment="1">
      <alignment horizontal="left" vertical="top"/>
    </xf>
    <xf numFmtId="0" fontId="21" fillId="0" borderId="3" xfId="0" applyFont="1" applyBorder="1" applyAlignment="1">
      <alignment horizontal="center" vertical="center" wrapText="1"/>
    </xf>
    <xf numFmtId="0" fontId="21" fillId="0" borderId="2" xfId="0" applyFont="1" applyBorder="1" applyAlignment="1">
      <alignment horizontal="center" vertical="center" wrapText="1"/>
    </xf>
    <xf numFmtId="0" fontId="13" fillId="0" borderId="0" xfId="0" applyFont="1" applyAlignment="1">
      <alignment horizontal="left"/>
    </xf>
    <xf numFmtId="0" fontId="13" fillId="0" borderId="0" xfId="0" applyFont="1" applyAlignment="1">
      <alignment horizontal="center"/>
    </xf>
    <xf numFmtId="0" fontId="0" fillId="0" borderId="4" xfId="0" applyBorder="1" applyAlignment="1">
      <alignment horizontal="center"/>
    </xf>
    <xf numFmtId="0" fontId="13" fillId="0" borderId="0" xfId="0" applyFont="1" applyAlignment="1">
      <alignment horizontal="center" wrapText="1"/>
    </xf>
    <xf numFmtId="0" fontId="13" fillId="0" borderId="0" xfId="0" applyFont="1" applyAlignment="1">
      <alignment horizontal="left" wrapText="1"/>
    </xf>
    <xf numFmtId="0" fontId="13" fillId="0" borderId="17" xfId="0" applyFont="1" applyBorder="1" applyAlignment="1">
      <alignment horizontal="center"/>
    </xf>
    <xf numFmtId="0" fontId="18" fillId="0" borderId="17" xfId="0" applyFont="1" applyBorder="1" applyAlignment="1">
      <alignment horizontal="left" vertical="center"/>
    </xf>
    <xf numFmtId="0" fontId="18" fillId="0" borderId="0" xfId="0" applyFont="1" applyAlignment="1">
      <alignment horizontal="left" vertical="center"/>
    </xf>
  </cellXfs>
  <cellStyles count="6045">
    <cellStyle name="Обычный" xfId="0" builtinId="0"/>
    <cellStyle name="Обычный 10" xfId="72"/>
    <cellStyle name="Обычный 10 10" xfId="4326"/>
    <cellStyle name="Обычный 10 2" xfId="208"/>
    <cellStyle name="Обычный 10 2 2" xfId="1306"/>
    <cellStyle name="Обычный 10 2 2 2" xfId="1416"/>
    <cellStyle name="Обычный 10 2 2 2 2" xfId="3200"/>
    <cellStyle name="Обычный 10 2 2 2 3" xfId="4844"/>
    <cellStyle name="Обычный 10 2 2 3" xfId="3090"/>
    <cellStyle name="Обычный 10 2 2 4" xfId="4734"/>
    <cellStyle name="Обычный 10 2 3" xfId="1400"/>
    <cellStyle name="Обычный 10 2 3 2" xfId="3184"/>
    <cellStyle name="Обычный 10 2 3 3" xfId="4828"/>
    <cellStyle name="Обычный 10 2 4" xfId="2537"/>
    <cellStyle name="Обычный 10 2 4 2" xfId="4182"/>
    <cellStyle name="Обычный 10 2 4 3" xfId="5965"/>
    <cellStyle name="Обычный 10 2 5" xfId="1041"/>
    <cellStyle name="Обычный 10 2 6" xfId="629"/>
    <cellStyle name="Обычный 10 2 7" xfId="2818"/>
    <cellStyle name="Обычный 10 2 8" xfId="4462"/>
    <cellStyle name="Обычный 10 3" xfId="357"/>
    <cellStyle name="Обычный 10 3 2" xfId="1408"/>
    <cellStyle name="Обычный 10 3 2 2" xfId="3192"/>
    <cellStyle name="Обычный 10 3 2 3" xfId="4836"/>
    <cellStyle name="Обычный 10 3 3" xfId="777"/>
    <cellStyle name="Обычный 10 3 4" xfId="2954"/>
    <cellStyle name="Обычный 10 3 5" xfId="4598"/>
    <cellStyle name="Обычный 10 4" xfId="1426"/>
    <cellStyle name="Обычный 10 4 2" xfId="1880"/>
    <cellStyle name="Обычный 10 4 2 2" xfId="3525"/>
    <cellStyle name="Обычный 10 4 2 3" xfId="5308"/>
    <cellStyle name="Обычный 10 4 3" xfId="4854"/>
    <cellStyle name="Обычный 10 5" xfId="1392"/>
    <cellStyle name="Обычный 10 5 2" xfId="3176"/>
    <cellStyle name="Обычный 10 5 3" xfId="4820"/>
    <cellStyle name="Обычный 10 6" xfId="2401"/>
    <cellStyle name="Обычный 10 6 2" xfId="4046"/>
    <cellStyle name="Обычный 10 6 3" xfId="5829"/>
    <cellStyle name="Обычный 10 7" xfId="1628"/>
    <cellStyle name="Обычный 10 7 2" xfId="3273"/>
    <cellStyle name="Обычный 10 7 3" xfId="5056"/>
    <cellStyle name="Обычный 10 8" xfId="493"/>
    <cellStyle name="Обычный 10 9" xfId="2682"/>
    <cellStyle name="Обычный 11" xfId="73"/>
    <cellStyle name="Обычный 11 10" xfId="4327"/>
    <cellStyle name="Обычный 11 2" xfId="209"/>
    <cellStyle name="Обычный 11 2 2" xfId="1307"/>
    <cellStyle name="Обычный 11 2 2 2" xfId="1417"/>
    <cellStyle name="Обычный 11 2 2 2 2" xfId="3201"/>
    <cellStyle name="Обычный 11 2 2 2 3" xfId="4845"/>
    <cellStyle name="Обычный 11 2 2 3" xfId="3091"/>
    <cellStyle name="Обычный 11 2 2 4" xfId="4735"/>
    <cellStyle name="Обычный 11 2 3" xfId="1401"/>
    <cellStyle name="Обычный 11 2 3 2" xfId="3185"/>
    <cellStyle name="Обычный 11 2 3 3" xfId="4829"/>
    <cellStyle name="Обычный 11 2 4" xfId="2538"/>
    <cellStyle name="Обычный 11 2 4 2" xfId="4183"/>
    <cellStyle name="Обычный 11 2 4 3" xfId="5966"/>
    <cellStyle name="Обычный 11 2 5" xfId="1042"/>
    <cellStyle name="Обычный 11 2 6" xfId="630"/>
    <cellStyle name="Обычный 11 2 7" xfId="2819"/>
    <cellStyle name="Обычный 11 2 8" xfId="4463"/>
    <cellStyle name="Обычный 11 3" xfId="358"/>
    <cellStyle name="Обычный 11 3 2" xfId="1409"/>
    <cellStyle name="Обычный 11 3 2 2" xfId="3193"/>
    <cellStyle name="Обычный 11 3 2 3" xfId="4837"/>
    <cellStyle name="Обычный 11 3 3" xfId="778"/>
    <cellStyle name="Обычный 11 3 4" xfId="2955"/>
    <cellStyle name="Обычный 11 3 5" xfId="4599"/>
    <cellStyle name="Обычный 11 4" xfId="1442"/>
    <cellStyle name="Обычный 11 4 2" xfId="1881"/>
    <cellStyle name="Обычный 11 4 2 2" xfId="3526"/>
    <cellStyle name="Обычный 11 4 2 3" xfId="5309"/>
    <cellStyle name="Обычный 11 4 3" xfId="4870"/>
    <cellStyle name="Обычный 11 5" xfId="1393"/>
    <cellStyle name="Обычный 11 5 2" xfId="3177"/>
    <cellStyle name="Обычный 11 5 3" xfId="4821"/>
    <cellStyle name="Обычный 11 6" xfId="2402"/>
    <cellStyle name="Обычный 11 6 2" xfId="4047"/>
    <cellStyle name="Обычный 11 6 3" xfId="5830"/>
    <cellStyle name="Обычный 11 7" xfId="1629"/>
    <cellStyle name="Обычный 11 7 2" xfId="3274"/>
    <cellStyle name="Обычный 11 7 3" xfId="5057"/>
    <cellStyle name="Обычный 11 8" xfId="494"/>
    <cellStyle name="Обычный 11 9" xfId="2683"/>
    <cellStyle name="Обычный 12" xfId="1418"/>
    <cellStyle name="Обычный 12 2" xfId="4846"/>
    <cellStyle name="Обычный 2" xfId="63"/>
    <cellStyle name="Обычный 2 2" xfId="1440"/>
    <cellStyle name="Обычный 2 2 2" xfId="4868"/>
    <cellStyle name="Обычный 2 2 3" xfId="6044"/>
    <cellStyle name="Обычный 3" xfId="64"/>
    <cellStyle name="Обычный 3 2" xfId="1425"/>
    <cellStyle name="Обычный 3 2 2" xfId="4853"/>
    <cellStyle name="Обычный 4" xfId="66"/>
    <cellStyle name="Обычный 4 10" xfId="4320"/>
    <cellStyle name="Обычный 4 2" xfId="202"/>
    <cellStyle name="Обычный 4 2 2" xfId="1300"/>
    <cellStyle name="Обычный 4 2 2 2" xfId="1410"/>
    <cellStyle name="Обычный 4 2 2 2 2" xfId="3194"/>
    <cellStyle name="Обычный 4 2 2 2 3" xfId="4838"/>
    <cellStyle name="Обычный 4 2 2 3" xfId="3084"/>
    <cellStyle name="Обычный 4 2 2 4" xfId="4728"/>
    <cellStyle name="Обычный 4 2 3" xfId="1394"/>
    <cellStyle name="Обычный 4 2 3 2" xfId="3178"/>
    <cellStyle name="Обычный 4 2 3 3" xfId="4822"/>
    <cellStyle name="Обычный 4 2 4" xfId="2531"/>
    <cellStyle name="Обычный 4 2 4 2" xfId="4176"/>
    <cellStyle name="Обычный 4 2 4 3" xfId="5959"/>
    <cellStyle name="Обычный 4 2 5" xfId="1035"/>
    <cellStyle name="Обычный 4 2 6" xfId="623"/>
    <cellStyle name="Обычный 4 2 7" xfId="2812"/>
    <cellStyle name="Обычный 4 2 8" xfId="4456"/>
    <cellStyle name="Обычный 4 3" xfId="351"/>
    <cellStyle name="Обычный 4 3 2" xfId="1402"/>
    <cellStyle name="Обычный 4 3 2 2" xfId="3186"/>
    <cellStyle name="Обычный 4 3 2 3" xfId="4830"/>
    <cellStyle name="Обычный 4 3 3" xfId="771"/>
    <cellStyle name="Обычный 4 3 4" xfId="2948"/>
    <cellStyle name="Обычный 4 3 5" xfId="4592"/>
    <cellStyle name="Обычный 4 4" xfId="1419"/>
    <cellStyle name="Обычный 4 4 2" xfId="1874"/>
    <cellStyle name="Обычный 4 4 2 2" xfId="3519"/>
    <cellStyle name="Обычный 4 4 2 3" xfId="5302"/>
    <cellStyle name="Обычный 4 4 3" xfId="4847"/>
    <cellStyle name="Обычный 4 5" xfId="1386"/>
    <cellStyle name="Обычный 4 5 2" xfId="3170"/>
    <cellStyle name="Обычный 4 5 3" xfId="4814"/>
    <cellStyle name="Обычный 4 6" xfId="2395"/>
    <cellStyle name="Обычный 4 6 2" xfId="4040"/>
    <cellStyle name="Обычный 4 6 3" xfId="5823"/>
    <cellStyle name="Обычный 4 7" xfId="1622"/>
    <cellStyle name="Обычный 4 7 2" xfId="3267"/>
    <cellStyle name="Обычный 4 7 3" xfId="5050"/>
    <cellStyle name="Обычный 4 8" xfId="487"/>
    <cellStyle name="Обычный 4 9" xfId="2676"/>
    <cellStyle name="Обычный 5" xfId="67"/>
    <cellStyle name="Обычный 5 10" xfId="4321"/>
    <cellStyle name="Обычный 5 2" xfId="203"/>
    <cellStyle name="Обычный 5 2 2" xfId="1301"/>
    <cellStyle name="Обычный 5 2 2 2" xfId="1411"/>
    <cellStyle name="Обычный 5 2 2 2 2" xfId="3195"/>
    <cellStyle name="Обычный 5 2 2 2 3" xfId="4839"/>
    <cellStyle name="Обычный 5 2 2 3" xfId="3085"/>
    <cellStyle name="Обычный 5 2 2 4" xfId="4729"/>
    <cellStyle name="Обычный 5 2 3" xfId="1395"/>
    <cellStyle name="Обычный 5 2 3 2" xfId="3179"/>
    <cellStyle name="Обычный 5 2 3 3" xfId="4823"/>
    <cellStyle name="Обычный 5 2 4" xfId="2532"/>
    <cellStyle name="Обычный 5 2 4 2" xfId="4177"/>
    <cellStyle name="Обычный 5 2 4 3" xfId="5960"/>
    <cellStyle name="Обычный 5 2 5" xfId="1036"/>
    <cellStyle name="Обычный 5 2 6" xfId="624"/>
    <cellStyle name="Обычный 5 2 7" xfId="2813"/>
    <cellStyle name="Обычный 5 2 8" xfId="4457"/>
    <cellStyle name="Обычный 5 3" xfId="352"/>
    <cellStyle name="Обычный 5 3 2" xfId="1403"/>
    <cellStyle name="Обычный 5 3 2 2" xfId="3187"/>
    <cellStyle name="Обычный 5 3 2 3" xfId="4831"/>
    <cellStyle name="Обычный 5 3 3" xfId="772"/>
    <cellStyle name="Обычный 5 3 4" xfId="2949"/>
    <cellStyle name="Обычный 5 3 5" xfId="4593"/>
    <cellStyle name="Обычный 5 4" xfId="1422"/>
    <cellStyle name="Обычный 5 4 2" xfId="1875"/>
    <cellStyle name="Обычный 5 4 2 2" xfId="3520"/>
    <cellStyle name="Обычный 5 4 2 3" xfId="5303"/>
    <cellStyle name="Обычный 5 4 3" xfId="4850"/>
    <cellStyle name="Обычный 5 5" xfId="1387"/>
    <cellStyle name="Обычный 5 5 2" xfId="3171"/>
    <cellStyle name="Обычный 5 5 3" xfId="4815"/>
    <cellStyle name="Обычный 5 6" xfId="2396"/>
    <cellStyle name="Обычный 5 6 2" xfId="4041"/>
    <cellStyle name="Обычный 5 6 3" xfId="5824"/>
    <cellStyle name="Обычный 5 7" xfId="1623"/>
    <cellStyle name="Обычный 5 7 2" xfId="3268"/>
    <cellStyle name="Обычный 5 7 3" xfId="5051"/>
    <cellStyle name="Обычный 5 8" xfId="488"/>
    <cellStyle name="Обычный 5 9" xfId="2677"/>
    <cellStyle name="Обычный 6" xfId="68"/>
    <cellStyle name="Обычный 6 10" xfId="4322"/>
    <cellStyle name="Обычный 6 2" xfId="204"/>
    <cellStyle name="Обычный 6 2 2" xfId="1302"/>
    <cellStyle name="Обычный 6 2 2 2" xfId="1412"/>
    <cellStyle name="Обычный 6 2 2 2 2" xfId="3196"/>
    <cellStyle name="Обычный 6 2 2 2 3" xfId="4840"/>
    <cellStyle name="Обычный 6 2 2 3" xfId="3086"/>
    <cellStyle name="Обычный 6 2 2 4" xfId="4730"/>
    <cellStyle name="Обычный 6 2 3" xfId="1396"/>
    <cellStyle name="Обычный 6 2 3 2" xfId="3180"/>
    <cellStyle name="Обычный 6 2 3 3" xfId="4824"/>
    <cellStyle name="Обычный 6 2 4" xfId="2533"/>
    <cellStyle name="Обычный 6 2 4 2" xfId="4178"/>
    <cellStyle name="Обычный 6 2 4 3" xfId="5961"/>
    <cellStyle name="Обычный 6 2 5" xfId="1037"/>
    <cellStyle name="Обычный 6 2 6" xfId="625"/>
    <cellStyle name="Обычный 6 2 7" xfId="2814"/>
    <cellStyle name="Обычный 6 2 8" xfId="4458"/>
    <cellStyle name="Обычный 6 3" xfId="353"/>
    <cellStyle name="Обычный 6 3 2" xfId="1404"/>
    <cellStyle name="Обычный 6 3 2 2" xfId="3188"/>
    <cellStyle name="Обычный 6 3 2 3" xfId="4832"/>
    <cellStyle name="Обычный 6 3 3" xfId="773"/>
    <cellStyle name="Обычный 6 3 4" xfId="2950"/>
    <cellStyle name="Обычный 6 3 5" xfId="4594"/>
    <cellStyle name="Обычный 6 4" xfId="1428"/>
    <cellStyle name="Обычный 6 4 2" xfId="1876"/>
    <cellStyle name="Обычный 6 4 2 2" xfId="3521"/>
    <cellStyle name="Обычный 6 4 2 3" xfId="5304"/>
    <cellStyle name="Обычный 6 4 3" xfId="4856"/>
    <cellStyle name="Обычный 6 5" xfId="1388"/>
    <cellStyle name="Обычный 6 5 2" xfId="3172"/>
    <cellStyle name="Обычный 6 5 3" xfId="4816"/>
    <cellStyle name="Обычный 6 6" xfId="2397"/>
    <cellStyle name="Обычный 6 6 2" xfId="4042"/>
    <cellStyle name="Обычный 6 6 3" xfId="5825"/>
    <cellStyle name="Обычный 6 7" xfId="1624"/>
    <cellStyle name="Обычный 6 7 2" xfId="3269"/>
    <cellStyle name="Обычный 6 7 3" xfId="5052"/>
    <cellStyle name="Обычный 6 8" xfId="489"/>
    <cellStyle name="Обычный 6 9" xfId="2678"/>
    <cellStyle name="Обычный 7" xfId="69"/>
    <cellStyle name="Обычный 7 10" xfId="4323"/>
    <cellStyle name="Обычный 7 2" xfId="205"/>
    <cellStyle name="Обычный 7 2 2" xfId="1303"/>
    <cellStyle name="Обычный 7 2 2 2" xfId="1413"/>
    <cellStyle name="Обычный 7 2 2 2 2" xfId="3197"/>
    <cellStyle name="Обычный 7 2 2 2 3" xfId="4841"/>
    <cellStyle name="Обычный 7 2 2 3" xfId="3087"/>
    <cellStyle name="Обычный 7 2 2 4" xfId="4731"/>
    <cellStyle name="Обычный 7 2 3" xfId="1397"/>
    <cellStyle name="Обычный 7 2 3 2" xfId="3181"/>
    <cellStyle name="Обычный 7 2 3 3" xfId="4825"/>
    <cellStyle name="Обычный 7 2 4" xfId="2534"/>
    <cellStyle name="Обычный 7 2 4 2" xfId="4179"/>
    <cellStyle name="Обычный 7 2 4 3" xfId="5962"/>
    <cellStyle name="Обычный 7 2 5" xfId="1038"/>
    <cellStyle name="Обычный 7 2 6" xfId="626"/>
    <cellStyle name="Обычный 7 2 7" xfId="2815"/>
    <cellStyle name="Обычный 7 2 8" xfId="4459"/>
    <cellStyle name="Обычный 7 3" xfId="354"/>
    <cellStyle name="Обычный 7 3 2" xfId="1405"/>
    <cellStyle name="Обычный 7 3 2 2" xfId="3189"/>
    <cellStyle name="Обычный 7 3 2 3" xfId="4833"/>
    <cellStyle name="Обычный 7 3 3" xfId="774"/>
    <cellStyle name="Обычный 7 3 4" xfId="2951"/>
    <cellStyle name="Обычный 7 3 5" xfId="4595"/>
    <cellStyle name="Обычный 7 4" xfId="1429"/>
    <cellStyle name="Обычный 7 4 2" xfId="1877"/>
    <cellStyle name="Обычный 7 4 2 2" xfId="3522"/>
    <cellStyle name="Обычный 7 4 2 3" xfId="5305"/>
    <cellStyle name="Обычный 7 4 3" xfId="4857"/>
    <cellStyle name="Обычный 7 5" xfId="1389"/>
    <cellStyle name="Обычный 7 5 2" xfId="3173"/>
    <cellStyle name="Обычный 7 5 3" xfId="4817"/>
    <cellStyle name="Обычный 7 6" xfId="2398"/>
    <cellStyle name="Обычный 7 6 2" xfId="4043"/>
    <cellStyle name="Обычный 7 6 3" xfId="5826"/>
    <cellStyle name="Обычный 7 7" xfId="1625"/>
    <cellStyle name="Обычный 7 7 2" xfId="3270"/>
    <cellStyle name="Обычный 7 7 3" xfId="5053"/>
    <cellStyle name="Обычный 7 8" xfId="490"/>
    <cellStyle name="Обычный 7 9" xfId="2679"/>
    <cellStyle name="Обычный 8" xfId="70"/>
    <cellStyle name="Обычный 8 10" xfId="4324"/>
    <cellStyle name="Обычный 8 2" xfId="206"/>
    <cellStyle name="Обычный 8 2 2" xfId="1304"/>
    <cellStyle name="Обычный 8 2 2 2" xfId="1414"/>
    <cellStyle name="Обычный 8 2 2 2 2" xfId="3198"/>
    <cellStyle name="Обычный 8 2 2 2 3" xfId="4842"/>
    <cellStyle name="Обычный 8 2 2 3" xfId="3088"/>
    <cellStyle name="Обычный 8 2 2 4" xfId="4732"/>
    <cellStyle name="Обычный 8 2 3" xfId="1398"/>
    <cellStyle name="Обычный 8 2 3 2" xfId="3182"/>
    <cellStyle name="Обычный 8 2 3 3" xfId="4826"/>
    <cellStyle name="Обычный 8 2 4" xfId="2535"/>
    <cellStyle name="Обычный 8 2 4 2" xfId="4180"/>
    <cellStyle name="Обычный 8 2 4 3" xfId="5963"/>
    <cellStyle name="Обычный 8 2 5" xfId="1039"/>
    <cellStyle name="Обычный 8 2 6" xfId="627"/>
    <cellStyle name="Обычный 8 2 7" xfId="2816"/>
    <cellStyle name="Обычный 8 2 8" xfId="4460"/>
    <cellStyle name="Обычный 8 3" xfId="355"/>
    <cellStyle name="Обычный 8 3 2" xfId="1406"/>
    <cellStyle name="Обычный 8 3 2 2" xfId="3190"/>
    <cellStyle name="Обычный 8 3 2 3" xfId="4834"/>
    <cellStyle name="Обычный 8 3 3" xfId="775"/>
    <cellStyle name="Обычный 8 3 4" xfId="2952"/>
    <cellStyle name="Обычный 8 3 5" xfId="4596"/>
    <cellStyle name="Обычный 8 4" xfId="1430"/>
    <cellStyle name="Обычный 8 4 2" xfId="1878"/>
    <cellStyle name="Обычный 8 4 2 2" xfId="3523"/>
    <cellStyle name="Обычный 8 4 2 3" xfId="5306"/>
    <cellStyle name="Обычный 8 4 3" xfId="4858"/>
    <cellStyle name="Обычный 8 5" xfId="1390"/>
    <cellStyle name="Обычный 8 5 2" xfId="3174"/>
    <cellStyle name="Обычный 8 5 3" xfId="4818"/>
    <cellStyle name="Обычный 8 6" xfId="2399"/>
    <cellStyle name="Обычный 8 6 2" xfId="4044"/>
    <cellStyle name="Обычный 8 6 3" xfId="5827"/>
    <cellStyle name="Обычный 8 7" xfId="1626"/>
    <cellStyle name="Обычный 8 7 2" xfId="3271"/>
    <cellStyle name="Обычный 8 7 3" xfId="5054"/>
    <cellStyle name="Обычный 8 8" xfId="491"/>
    <cellStyle name="Обычный 8 9" xfId="2680"/>
    <cellStyle name="Обычный 9" xfId="71"/>
    <cellStyle name="Обычный 9 10" xfId="4325"/>
    <cellStyle name="Обычный 9 2" xfId="207"/>
    <cellStyle name="Обычный 9 2 2" xfId="1305"/>
    <cellStyle name="Обычный 9 2 2 2" xfId="1415"/>
    <cellStyle name="Обычный 9 2 2 2 2" xfId="3199"/>
    <cellStyle name="Обычный 9 2 2 2 3" xfId="4843"/>
    <cellStyle name="Обычный 9 2 2 3" xfId="3089"/>
    <cellStyle name="Обычный 9 2 2 4" xfId="4733"/>
    <cellStyle name="Обычный 9 2 3" xfId="1399"/>
    <cellStyle name="Обычный 9 2 3 2" xfId="3183"/>
    <cellStyle name="Обычный 9 2 3 3" xfId="4827"/>
    <cellStyle name="Обычный 9 2 4" xfId="2536"/>
    <cellStyle name="Обычный 9 2 4 2" xfId="4181"/>
    <cellStyle name="Обычный 9 2 4 3" xfId="5964"/>
    <cellStyle name="Обычный 9 2 5" xfId="1040"/>
    <cellStyle name="Обычный 9 2 6" xfId="628"/>
    <cellStyle name="Обычный 9 2 7" xfId="2817"/>
    <cellStyle name="Обычный 9 2 8" xfId="4461"/>
    <cellStyle name="Обычный 9 3" xfId="356"/>
    <cellStyle name="Обычный 9 3 2" xfId="1407"/>
    <cellStyle name="Обычный 9 3 2 2" xfId="3191"/>
    <cellStyle name="Обычный 9 3 2 3" xfId="4835"/>
    <cellStyle name="Обычный 9 3 3" xfId="776"/>
    <cellStyle name="Обычный 9 3 4" xfId="2953"/>
    <cellStyle name="Обычный 9 3 5" xfId="4597"/>
    <cellStyle name="Обычный 9 4" xfId="1431"/>
    <cellStyle name="Обычный 9 4 2" xfId="1879"/>
    <cellStyle name="Обычный 9 4 2 2" xfId="3524"/>
    <cellStyle name="Обычный 9 4 2 3" xfId="5307"/>
    <cellStyle name="Обычный 9 4 3" xfId="4859"/>
    <cellStyle name="Обычный 9 5" xfId="1391"/>
    <cellStyle name="Обычный 9 5 2" xfId="3175"/>
    <cellStyle name="Обычный 9 5 3" xfId="4819"/>
    <cellStyle name="Обычный 9 6" xfId="2400"/>
    <cellStyle name="Обычный 9 6 2" xfId="4045"/>
    <cellStyle name="Обычный 9 6 3" xfId="5828"/>
    <cellStyle name="Обычный 9 7" xfId="1627"/>
    <cellStyle name="Обычный 9 7 2" xfId="3272"/>
    <cellStyle name="Обычный 9 7 3" xfId="5055"/>
    <cellStyle name="Обычный 9 8" xfId="492"/>
    <cellStyle name="Обычный 9 9" xfId="2681"/>
    <cellStyle name="Процентный" xfId="287" builtinId="5"/>
    <cellStyle name="Процентный 2" xfId="1557"/>
    <cellStyle name="Процентный 2 2" xfId="4985"/>
    <cellStyle name="Финансовый" xfId="1" builtinId="3"/>
    <cellStyle name="Финансовый [0] 2" xfId="1385"/>
    <cellStyle name="Финансовый [0] 2 2" xfId="3169"/>
    <cellStyle name="Финансовый [0] 2 3" xfId="4813"/>
    <cellStyle name="Финансовый 10" xfId="125"/>
    <cellStyle name="Финансовый 10 10" xfId="2735"/>
    <cellStyle name="Финансовый 10 11" xfId="4379"/>
    <cellStyle name="Финансовый 10 2" xfId="261"/>
    <cellStyle name="Финансовый 10 2 2" xfId="1359"/>
    <cellStyle name="Финансовый 10 2 2 2" xfId="2317"/>
    <cellStyle name="Финансовый 10 2 2 2 2" xfId="3962"/>
    <cellStyle name="Финансовый 10 2 2 2 3" xfId="5745"/>
    <cellStyle name="Финансовый 10 2 2 3" xfId="3143"/>
    <cellStyle name="Финансовый 10 2 2 4" xfId="4787"/>
    <cellStyle name="Финансовый 10 2 3" xfId="2061"/>
    <cellStyle name="Финансовый 10 2 3 2" xfId="3706"/>
    <cellStyle name="Финансовый 10 2 3 3" xfId="5489"/>
    <cellStyle name="Финансовый 10 2 4" xfId="2590"/>
    <cellStyle name="Финансовый 10 2 4 2" xfId="4235"/>
    <cellStyle name="Финансовый 10 2 4 3" xfId="6018"/>
    <cellStyle name="Финансовый 10 2 5" xfId="1094"/>
    <cellStyle name="Финансовый 10 2 6" xfId="682"/>
    <cellStyle name="Финансовый 10 2 7" xfId="2871"/>
    <cellStyle name="Финансовый 10 2 8" xfId="4515"/>
    <cellStyle name="Финансовый 10 3" xfId="410"/>
    <cellStyle name="Финансовый 10 3 2" xfId="2189"/>
    <cellStyle name="Финансовый 10 3 2 2" xfId="3834"/>
    <cellStyle name="Финансовый 10 3 2 3" xfId="5617"/>
    <cellStyle name="Финансовый 10 3 3" xfId="1223"/>
    <cellStyle name="Финансовый 10 3 4" xfId="830"/>
    <cellStyle name="Финансовый 10 3 5" xfId="3007"/>
    <cellStyle name="Финансовый 10 3 6" xfId="4651"/>
    <cellStyle name="Финансовый 10 4" xfId="1444"/>
    <cellStyle name="Финансовый 10 4 2" xfId="1933"/>
    <cellStyle name="Финансовый 10 4 2 2" xfId="3578"/>
    <cellStyle name="Финансовый 10 4 2 3" xfId="5361"/>
    <cellStyle name="Финансовый 10 4 3" xfId="4872"/>
    <cellStyle name="Финансовый 10 5" xfId="1809"/>
    <cellStyle name="Финансовый 10 5 2" xfId="3454"/>
    <cellStyle name="Финансовый 10 5 3" xfId="5237"/>
    <cellStyle name="Финансовый 10 6" xfId="2454"/>
    <cellStyle name="Финансовый 10 6 2" xfId="4099"/>
    <cellStyle name="Финансовый 10 6 3" xfId="5882"/>
    <cellStyle name="Финансовый 10 7" xfId="1681"/>
    <cellStyle name="Финансовый 10 7 2" xfId="3326"/>
    <cellStyle name="Финансовый 10 7 3" xfId="5109"/>
    <cellStyle name="Финансовый 10 8" xfId="958"/>
    <cellStyle name="Финансовый 10 9" xfId="546"/>
    <cellStyle name="Финансовый 11" xfId="61"/>
    <cellStyle name="Финансовый 11 10" xfId="2673"/>
    <cellStyle name="Финансовый 11 11" xfId="4316"/>
    <cellStyle name="Финансовый 11 2" xfId="199"/>
    <cellStyle name="Финансовый 11 2 2" xfId="1297"/>
    <cellStyle name="Финансовый 11 2 2 2" xfId="2263"/>
    <cellStyle name="Финансовый 11 2 2 2 2" xfId="3908"/>
    <cellStyle name="Финансовый 11 2 2 2 3" xfId="5691"/>
    <cellStyle name="Финансовый 11 2 2 3" xfId="3081"/>
    <cellStyle name="Финансовый 11 2 2 4" xfId="4725"/>
    <cellStyle name="Финансовый 11 2 3" xfId="2007"/>
    <cellStyle name="Финансовый 11 2 3 2" xfId="3652"/>
    <cellStyle name="Финансовый 11 2 3 3" xfId="5435"/>
    <cellStyle name="Финансовый 11 2 4" xfId="2528"/>
    <cellStyle name="Финансовый 11 2 4 2" xfId="4173"/>
    <cellStyle name="Финансовый 11 2 4 3" xfId="5956"/>
    <cellStyle name="Финансовый 11 2 5" xfId="1032"/>
    <cellStyle name="Финансовый 11 2 6" xfId="620"/>
    <cellStyle name="Финансовый 11 2 7" xfId="2809"/>
    <cellStyle name="Финансовый 11 2 8" xfId="4453"/>
    <cellStyle name="Финансовый 11 3" xfId="348"/>
    <cellStyle name="Финансовый 11 3 2" xfId="2135"/>
    <cellStyle name="Финансовый 11 3 2 2" xfId="3780"/>
    <cellStyle name="Финансовый 11 3 2 3" xfId="5563"/>
    <cellStyle name="Финансовый 11 3 3" xfId="1168"/>
    <cellStyle name="Финансовый 11 3 4" xfId="768"/>
    <cellStyle name="Финансовый 11 3 5" xfId="2945"/>
    <cellStyle name="Финансовый 11 3 6" xfId="4589"/>
    <cellStyle name="Финансовый 11 4" xfId="1436"/>
    <cellStyle name="Финансовый 11 4 2" xfId="1871"/>
    <cellStyle name="Финансовый 11 4 2 2" xfId="3516"/>
    <cellStyle name="Финансовый 11 4 2 3" xfId="5299"/>
    <cellStyle name="Финансовый 11 4 3" xfId="4864"/>
    <cellStyle name="Финансовый 11 5" xfId="1755"/>
    <cellStyle name="Финансовый 11 5 2" xfId="3400"/>
    <cellStyle name="Финансовый 11 5 3" xfId="5183"/>
    <cellStyle name="Финансовый 11 6" xfId="2391"/>
    <cellStyle name="Финансовый 11 6 2" xfId="4036"/>
    <cellStyle name="Финансовый 11 6 3" xfId="5819"/>
    <cellStyle name="Финансовый 11 7" xfId="1618"/>
    <cellStyle name="Финансовый 11 7 2" xfId="3263"/>
    <cellStyle name="Финансовый 11 7 3" xfId="5046"/>
    <cellStyle name="Финансовый 11 8" xfId="904"/>
    <cellStyle name="Финансовый 11 9" xfId="484"/>
    <cellStyle name="Финансовый 12" xfId="49"/>
    <cellStyle name="Финансовый 12 10" xfId="2661"/>
    <cellStyle name="Финансовый 12 11" xfId="4304"/>
    <cellStyle name="Финансовый 12 2" xfId="187"/>
    <cellStyle name="Финансовый 12 2 2" xfId="1285"/>
    <cellStyle name="Финансовый 12 2 2 2" xfId="2251"/>
    <cellStyle name="Финансовый 12 2 2 2 2" xfId="3896"/>
    <cellStyle name="Финансовый 12 2 2 2 3" xfId="5679"/>
    <cellStyle name="Финансовый 12 2 2 3" xfId="3069"/>
    <cellStyle name="Финансовый 12 2 2 4" xfId="4713"/>
    <cellStyle name="Финансовый 12 2 3" xfId="1995"/>
    <cellStyle name="Финансовый 12 2 3 2" xfId="3640"/>
    <cellStyle name="Финансовый 12 2 3 3" xfId="5423"/>
    <cellStyle name="Финансовый 12 2 4" xfId="2516"/>
    <cellStyle name="Финансовый 12 2 4 2" xfId="4161"/>
    <cellStyle name="Финансовый 12 2 4 3" xfId="5944"/>
    <cellStyle name="Финансовый 12 2 5" xfId="1020"/>
    <cellStyle name="Финансовый 12 2 6" xfId="608"/>
    <cellStyle name="Финансовый 12 2 7" xfId="2797"/>
    <cellStyle name="Финансовый 12 2 8" xfId="4441"/>
    <cellStyle name="Финансовый 12 3" xfId="336"/>
    <cellStyle name="Финансовый 12 3 2" xfId="2123"/>
    <cellStyle name="Финансовый 12 3 2 2" xfId="3768"/>
    <cellStyle name="Финансовый 12 3 2 3" xfId="5551"/>
    <cellStyle name="Финансовый 12 3 3" xfId="1156"/>
    <cellStyle name="Финансовый 12 3 4" xfId="756"/>
    <cellStyle name="Финансовый 12 3 5" xfId="2933"/>
    <cellStyle name="Финансовый 12 3 6" xfId="4577"/>
    <cellStyle name="Финансовый 12 4" xfId="1438"/>
    <cellStyle name="Финансовый 12 4 2" xfId="1859"/>
    <cellStyle name="Финансовый 12 4 2 2" xfId="3504"/>
    <cellStyle name="Финансовый 12 4 2 3" xfId="5287"/>
    <cellStyle name="Финансовый 12 4 3" xfId="4866"/>
    <cellStyle name="Финансовый 12 5" xfId="1743"/>
    <cellStyle name="Финансовый 12 5 2" xfId="3388"/>
    <cellStyle name="Финансовый 12 5 3" xfId="5171"/>
    <cellStyle name="Финансовый 12 6" xfId="2379"/>
    <cellStyle name="Финансовый 12 6 2" xfId="4024"/>
    <cellStyle name="Финансовый 12 6 3" xfId="5807"/>
    <cellStyle name="Финансовый 12 7" xfId="1606"/>
    <cellStyle name="Финансовый 12 7 2" xfId="3251"/>
    <cellStyle name="Финансовый 12 7 3" xfId="5034"/>
    <cellStyle name="Финансовый 12 8" xfId="892"/>
    <cellStyle name="Финансовый 12 9" xfId="472"/>
    <cellStyle name="Финансовый 13" xfId="127"/>
    <cellStyle name="Финансовый 13 10" xfId="2737"/>
    <cellStyle name="Финансовый 13 11" xfId="4381"/>
    <cellStyle name="Финансовый 13 2" xfId="263"/>
    <cellStyle name="Финансовый 13 2 2" xfId="1361"/>
    <cellStyle name="Финансовый 13 2 2 2" xfId="2319"/>
    <cellStyle name="Финансовый 13 2 2 2 2" xfId="3964"/>
    <cellStyle name="Финансовый 13 2 2 2 3" xfId="5747"/>
    <cellStyle name="Финансовый 13 2 2 3" xfId="3145"/>
    <cellStyle name="Финансовый 13 2 2 4" xfId="4789"/>
    <cellStyle name="Финансовый 13 2 3" xfId="2063"/>
    <cellStyle name="Финансовый 13 2 3 2" xfId="3708"/>
    <cellStyle name="Финансовый 13 2 3 3" xfId="5491"/>
    <cellStyle name="Финансовый 13 2 4" xfId="2592"/>
    <cellStyle name="Финансовый 13 2 4 2" xfId="4237"/>
    <cellStyle name="Финансовый 13 2 4 3" xfId="6020"/>
    <cellStyle name="Финансовый 13 2 5" xfId="1096"/>
    <cellStyle name="Финансовый 13 2 6" xfId="684"/>
    <cellStyle name="Финансовый 13 2 7" xfId="2873"/>
    <cellStyle name="Финансовый 13 2 8" xfId="4517"/>
    <cellStyle name="Финансовый 13 3" xfId="412"/>
    <cellStyle name="Финансовый 13 3 2" xfId="2191"/>
    <cellStyle name="Финансовый 13 3 2 2" xfId="3836"/>
    <cellStyle name="Финансовый 13 3 2 3" xfId="5619"/>
    <cellStyle name="Финансовый 13 3 3" xfId="1225"/>
    <cellStyle name="Финансовый 13 3 4" xfId="832"/>
    <cellStyle name="Финансовый 13 3 5" xfId="3009"/>
    <cellStyle name="Финансовый 13 3 6" xfId="4653"/>
    <cellStyle name="Финансовый 13 4" xfId="1439"/>
    <cellStyle name="Финансовый 13 4 2" xfId="1935"/>
    <cellStyle name="Финансовый 13 4 2 2" xfId="3580"/>
    <cellStyle name="Финансовый 13 4 2 3" xfId="5363"/>
    <cellStyle name="Финансовый 13 4 3" xfId="4867"/>
    <cellStyle name="Финансовый 13 5" xfId="1811"/>
    <cellStyle name="Финансовый 13 5 2" xfId="3456"/>
    <cellStyle name="Финансовый 13 5 3" xfId="5239"/>
    <cellStyle name="Финансовый 13 6" xfId="2456"/>
    <cellStyle name="Финансовый 13 6 2" xfId="4101"/>
    <cellStyle name="Финансовый 13 6 3" xfId="5884"/>
    <cellStyle name="Финансовый 13 7" xfId="1683"/>
    <cellStyle name="Финансовый 13 7 2" xfId="3328"/>
    <cellStyle name="Финансовый 13 7 3" xfId="5111"/>
    <cellStyle name="Финансовый 13 8" xfId="960"/>
    <cellStyle name="Финансовый 13 9" xfId="548"/>
    <cellStyle name="Финансовый 14" xfId="25"/>
    <cellStyle name="Финансовый 14 10" xfId="2637"/>
    <cellStyle name="Финансовый 14 11" xfId="4280"/>
    <cellStyle name="Финансовый 14 2" xfId="163"/>
    <cellStyle name="Финансовый 14 2 2" xfId="1261"/>
    <cellStyle name="Финансовый 14 2 2 2" xfId="2227"/>
    <cellStyle name="Финансовый 14 2 2 2 2" xfId="3872"/>
    <cellStyle name="Финансовый 14 2 2 2 3" xfId="5655"/>
    <cellStyle name="Финансовый 14 2 2 3" xfId="3045"/>
    <cellStyle name="Финансовый 14 2 2 4" xfId="4689"/>
    <cellStyle name="Финансовый 14 2 3" xfId="1971"/>
    <cellStyle name="Финансовый 14 2 3 2" xfId="3616"/>
    <cellStyle name="Финансовый 14 2 3 3" xfId="5399"/>
    <cellStyle name="Финансовый 14 2 4" xfId="2492"/>
    <cellStyle name="Финансовый 14 2 4 2" xfId="4137"/>
    <cellStyle name="Финансовый 14 2 4 3" xfId="5920"/>
    <cellStyle name="Финансовый 14 2 5" xfId="996"/>
    <cellStyle name="Финансовый 14 2 6" xfId="584"/>
    <cellStyle name="Финансовый 14 2 7" xfId="2773"/>
    <cellStyle name="Финансовый 14 2 8" xfId="4417"/>
    <cellStyle name="Финансовый 14 3" xfId="312"/>
    <cellStyle name="Финансовый 14 3 2" xfId="2099"/>
    <cellStyle name="Финансовый 14 3 2 2" xfId="3744"/>
    <cellStyle name="Финансовый 14 3 2 3" xfId="5527"/>
    <cellStyle name="Финансовый 14 3 3" xfId="1132"/>
    <cellStyle name="Финансовый 14 3 4" xfId="732"/>
    <cellStyle name="Финансовый 14 3 5" xfId="2909"/>
    <cellStyle name="Финансовый 14 3 6" xfId="4553"/>
    <cellStyle name="Финансовый 14 4" xfId="1441"/>
    <cellStyle name="Финансовый 14 4 2" xfId="1835"/>
    <cellStyle name="Финансовый 14 4 2 2" xfId="3480"/>
    <cellStyle name="Финансовый 14 4 2 3" xfId="5263"/>
    <cellStyle name="Финансовый 14 4 3" xfId="4869"/>
    <cellStyle name="Финансовый 14 5" xfId="1719"/>
    <cellStyle name="Финансовый 14 5 2" xfId="3364"/>
    <cellStyle name="Финансовый 14 5 3" xfId="5147"/>
    <cellStyle name="Финансовый 14 6" xfId="2355"/>
    <cellStyle name="Финансовый 14 6 2" xfId="4000"/>
    <cellStyle name="Финансовый 14 6 3" xfId="5783"/>
    <cellStyle name="Финансовый 14 7" xfId="1582"/>
    <cellStyle name="Финансовый 14 7 2" xfId="3227"/>
    <cellStyle name="Финансовый 14 7 3" xfId="5010"/>
    <cellStyle name="Финансовый 14 8" xfId="868"/>
    <cellStyle name="Финансовый 14 9" xfId="448"/>
    <cellStyle name="Финансовый 15" xfId="13"/>
    <cellStyle name="Финансовый 15 10" xfId="2625"/>
    <cellStyle name="Финансовый 15 11" xfId="4268"/>
    <cellStyle name="Финансовый 15 2" xfId="151"/>
    <cellStyle name="Финансовый 15 2 2" xfId="1249"/>
    <cellStyle name="Финансовый 15 2 2 2" xfId="2215"/>
    <cellStyle name="Финансовый 15 2 2 2 2" xfId="3860"/>
    <cellStyle name="Финансовый 15 2 2 2 3" xfId="5643"/>
    <cellStyle name="Финансовый 15 2 2 3" xfId="3033"/>
    <cellStyle name="Финансовый 15 2 2 4" xfId="4677"/>
    <cellStyle name="Финансовый 15 2 3" xfId="1959"/>
    <cellStyle name="Финансовый 15 2 3 2" xfId="3604"/>
    <cellStyle name="Финансовый 15 2 3 3" xfId="5387"/>
    <cellStyle name="Финансовый 15 2 4" xfId="2480"/>
    <cellStyle name="Финансовый 15 2 4 2" xfId="4125"/>
    <cellStyle name="Финансовый 15 2 4 3" xfId="5908"/>
    <cellStyle name="Финансовый 15 2 5" xfId="984"/>
    <cellStyle name="Финансовый 15 2 6" xfId="572"/>
    <cellStyle name="Финансовый 15 2 7" xfId="2761"/>
    <cellStyle name="Финансовый 15 2 8" xfId="4405"/>
    <cellStyle name="Финансовый 15 3" xfId="300"/>
    <cellStyle name="Финансовый 15 3 2" xfId="2087"/>
    <cellStyle name="Финансовый 15 3 2 2" xfId="3732"/>
    <cellStyle name="Финансовый 15 3 2 3" xfId="5515"/>
    <cellStyle name="Финансовый 15 3 3" xfId="1120"/>
    <cellStyle name="Финансовый 15 3 4" xfId="720"/>
    <cellStyle name="Финансовый 15 3 5" xfId="2897"/>
    <cellStyle name="Финансовый 15 3 6" xfId="4541"/>
    <cellStyle name="Финансовый 15 4" xfId="1435"/>
    <cellStyle name="Финансовый 15 4 2" xfId="1823"/>
    <cellStyle name="Финансовый 15 4 2 2" xfId="3468"/>
    <cellStyle name="Финансовый 15 4 2 3" xfId="5251"/>
    <cellStyle name="Финансовый 15 4 3" xfId="4863"/>
    <cellStyle name="Финансовый 15 5" xfId="1707"/>
    <cellStyle name="Финансовый 15 5 2" xfId="3352"/>
    <cellStyle name="Финансовый 15 5 3" xfId="5135"/>
    <cellStyle name="Финансовый 15 6" xfId="2343"/>
    <cellStyle name="Финансовый 15 6 2" xfId="3988"/>
    <cellStyle name="Финансовый 15 6 3" xfId="5771"/>
    <cellStyle name="Финансовый 15 7" xfId="1570"/>
    <cellStyle name="Финансовый 15 7 2" xfId="3215"/>
    <cellStyle name="Финансовый 15 7 3" xfId="4998"/>
    <cellStyle name="Финансовый 15 8" xfId="856"/>
    <cellStyle name="Финансовый 15 9" xfId="436"/>
    <cellStyle name="Финансовый 16" xfId="139"/>
    <cellStyle name="Финансовый 16 2" xfId="1237"/>
    <cellStyle name="Финансовый 16 2 2" xfId="2203"/>
    <cellStyle name="Финансовый 16 2 2 2" xfId="3848"/>
    <cellStyle name="Финансовый 16 2 2 3" xfId="5631"/>
    <cellStyle name="Финансовый 16 2 3" xfId="3021"/>
    <cellStyle name="Финансовый 16 2 4" xfId="4665"/>
    <cellStyle name="Финансовый 16 3" xfId="1947"/>
    <cellStyle name="Финансовый 16 3 2" xfId="3592"/>
    <cellStyle name="Финансовый 16 3 3" xfId="5375"/>
    <cellStyle name="Финансовый 16 4" xfId="2468"/>
    <cellStyle name="Финансовый 16 4 2" xfId="4113"/>
    <cellStyle name="Финансовый 16 4 3" xfId="5896"/>
    <cellStyle name="Финансовый 16 5" xfId="972"/>
    <cellStyle name="Финансовый 16 6" xfId="560"/>
    <cellStyle name="Финансовый 16 7" xfId="2749"/>
    <cellStyle name="Финансовый 16 8" xfId="4393"/>
    <cellStyle name="Финансовый 17" xfId="275"/>
    <cellStyle name="Финансовый 17 2" xfId="2075"/>
    <cellStyle name="Финансовый 17 2 2" xfId="3720"/>
    <cellStyle name="Финансовый 17 2 3" xfId="5503"/>
    <cellStyle name="Финансовый 17 3" xfId="1373"/>
    <cellStyle name="Финансовый 17 4" xfId="696"/>
    <cellStyle name="Финансовый 17 5" xfId="3157"/>
    <cellStyle name="Финансовый 17 6" xfId="4801"/>
    <cellStyle name="Финансовый 18" xfId="288"/>
    <cellStyle name="Финансовый 18 2" xfId="1108"/>
    <cellStyle name="Финансовый 18 3" xfId="708"/>
    <cellStyle name="Финансовый 18 4" xfId="2885"/>
    <cellStyle name="Финансовый 18 5" xfId="4529"/>
    <cellStyle name="Финансовый 19" xfId="1421"/>
    <cellStyle name="Финансовый 19 2" xfId="1695"/>
    <cellStyle name="Финансовый 19 2 2" xfId="3340"/>
    <cellStyle name="Финансовый 19 2 3" xfId="5123"/>
    <cellStyle name="Финансовый 19 3" xfId="4849"/>
    <cellStyle name="Финансовый 2" xfId="2"/>
    <cellStyle name="Финансовый 2 10" xfId="62"/>
    <cellStyle name="Финансовый 2 10 10" xfId="2674"/>
    <cellStyle name="Финансовый 2 10 11" xfId="4317"/>
    <cellStyle name="Финансовый 2 10 2" xfId="200"/>
    <cellStyle name="Финансовый 2 10 2 2" xfId="1298"/>
    <cellStyle name="Финансовый 2 10 2 2 2" xfId="2264"/>
    <cellStyle name="Финансовый 2 10 2 2 2 2" xfId="3909"/>
    <cellStyle name="Финансовый 2 10 2 2 2 3" xfId="5692"/>
    <cellStyle name="Финансовый 2 10 2 2 3" xfId="3082"/>
    <cellStyle name="Финансовый 2 10 2 2 4" xfId="4726"/>
    <cellStyle name="Финансовый 2 10 2 3" xfId="2008"/>
    <cellStyle name="Финансовый 2 10 2 3 2" xfId="3653"/>
    <cellStyle name="Финансовый 2 10 2 3 3" xfId="5436"/>
    <cellStyle name="Финансовый 2 10 2 4" xfId="2529"/>
    <cellStyle name="Финансовый 2 10 2 4 2" xfId="4174"/>
    <cellStyle name="Финансовый 2 10 2 4 3" xfId="5957"/>
    <cellStyle name="Финансовый 2 10 2 5" xfId="1033"/>
    <cellStyle name="Финансовый 2 10 2 6" xfId="621"/>
    <cellStyle name="Финансовый 2 10 2 7" xfId="2810"/>
    <cellStyle name="Финансовый 2 10 2 8" xfId="4454"/>
    <cellStyle name="Финансовый 2 10 3" xfId="349"/>
    <cellStyle name="Финансовый 2 10 3 2" xfId="2136"/>
    <cellStyle name="Финансовый 2 10 3 2 2" xfId="3781"/>
    <cellStyle name="Финансовый 2 10 3 2 3" xfId="5564"/>
    <cellStyle name="Финансовый 2 10 3 3" xfId="1169"/>
    <cellStyle name="Финансовый 2 10 3 4" xfId="769"/>
    <cellStyle name="Финансовый 2 10 3 5" xfId="2946"/>
    <cellStyle name="Финансовый 2 10 3 6" xfId="4590"/>
    <cellStyle name="Финансовый 2 10 4" xfId="1448"/>
    <cellStyle name="Финансовый 2 10 4 2" xfId="1872"/>
    <cellStyle name="Финансовый 2 10 4 2 2" xfId="3517"/>
    <cellStyle name="Финансовый 2 10 4 2 3" xfId="5300"/>
    <cellStyle name="Финансовый 2 10 4 3" xfId="4876"/>
    <cellStyle name="Финансовый 2 10 5" xfId="1756"/>
    <cellStyle name="Финансовый 2 10 5 2" xfId="3401"/>
    <cellStyle name="Финансовый 2 10 5 3" xfId="5184"/>
    <cellStyle name="Финансовый 2 10 6" xfId="2392"/>
    <cellStyle name="Финансовый 2 10 6 2" xfId="4037"/>
    <cellStyle name="Финансовый 2 10 6 3" xfId="5820"/>
    <cellStyle name="Финансовый 2 10 7" xfId="1619"/>
    <cellStyle name="Финансовый 2 10 7 2" xfId="3264"/>
    <cellStyle name="Финансовый 2 10 7 3" xfId="5047"/>
    <cellStyle name="Финансовый 2 10 8" xfId="905"/>
    <cellStyle name="Финансовый 2 10 9" xfId="485"/>
    <cellStyle name="Финансовый 2 11" xfId="50"/>
    <cellStyle name="Финансовый 2 11 10" xfId="2662"/>
    <cellStyle name="Финансовый 2 11 11" xfId="4305"/>
    <cellStyle name="Финансовый 2 11 2" xfId="188"/>
    <cellStyle name="Финансовый 2 11 2 2" xfId="1286"/>
    <cellStyle name="Финансовый 2 11 2 2 2" xfId="2252"/>
    <cellStyle name="Финансовый 2 11 2 2 2 2" xfId="3897"/>
    <cellStyle name="Финансовый 2 11 2 2 2 3" xfId="5680"/>
    <cellStyle name="Финансовый 2 11 2 2 3" xfId="3070"/>
    <cellStyle name="Финансовый 2 11 2 2 4" xfId="4714"/>
    <cellStyle name="Финансовый 2 11 2 3" xfId="1996"/>
    <cellStyle name="Финансовый 2 11 2 3 2" xfId="3641"/>
    <cellStyle name="Финансовый 2 11 2 3 3" xfId="5424"/>
    <cellStyle name="Финансовый 2 11 2 4" xfId="2517"/>
    <cellStyle name="Финансовый 2 11 2 4 2" xfId="4162"/>
    <cellStyle name="Финансовый 2 11 2 4 3" xfId="5945"/>
    <cellStyle name="Финансовый 2 11 2 5" xfId="1021"/>
    <cellStyle name="Финансовый 2 11 2 6" xfId="609"/>
    <cellStyle name="Финансовый 2 11 2 7" xfId="2798"/>
    <cellStyle name="Финансовый 2 11 2 8" xfId="4442"/>
    <cellStyle name="Финансовый 2 11 3" xfId="337"/>
    <cellStyle name="Финансовый 2 11 3 2" xfId="2124"/>
    <cellStyle name="Финансовый 2 11 3 2 2" xfId="3769"/>
    <cellStyle name="Финансовый 2 11 3 2 3" xfId="5552"/>
    <cellStyle name="Финансовый 2 11 3 3" xfId="1157"/>
    <cellStyle name="Финансовый 2 11 3 4" xfId="757"/>
    <cellStyle name="Финансовый 2 11 3 5" xfId="2934"/>
    <cellStyle name="Финансовый 2 11 3 6" xfId="4578"/>
    <cellStyle name="Финансовый 2 11 4" xfId="1434"/>
    <cellStyle name="Финансовый 2 11 4 2" xfId="1860"/>
    <cellStyle name="Финансовый 2 11 4 2 2" xfId="3505"/>
    <cellStyle name="Финансовый 2 11 4 2 3" xfId="5288"/>
    <cellStyle name="Финансовый 2 11 4 3" xfId="4862"/>
    <cellStyle name="Финансовый 2 11 5" xfId="1744"/>
    <cellStyle name="Финансовый 2 11 5 2" xfId="3389"/>
    <cellStyle name="Финансовый 2 11 5 3" xfId="5172"/>
    <cellStyle name="Финансовый 2 11 6" xfId="2380"/>
    <cellStyle name="Финансовый 2 11 6 2" xfId="4025"/>
    <cellStyle name="Финансовый 2 11 6 3" xfId="5808"/>
    <cellStyle name="Финансовый 2 11 7" xfId="1607"/>
    <cellStyle name="Финансовый 2 11 7 2" xfId="3252"/>
    <cellStyle name="Финансовый 2 11 7 3" xfId="5035"/>
    <cellStyle name="Финансовый 2 11 8" xfId="893"/>
    <cellStyle name="Финансовый 2 11 9" xfId="473"/>
    <cellStyle name="Финансовый 2 12" xfId="128"/>
    <cellStyle name="Финансовый 2 12 10" xfId="2738"/>
    <cellStyle name="Финансовый 2 12 11" xfId="4382"/>
    <cellStyle name="Финансовый 2 12 2" xfId="264"/>
    <cellStyle name="Финансовый 2 12 2 2" xfId="1362"/>
    <cellStyle name="Финансовый 2 12 2 2 2" xfId="2320"/>
    <cellStyle name="Финансовый 2 12 2 2 2 2" xfId="3965"/>
    <cellStyle name="Финансовый 2 12 2 2 2 3" xfId="5748"/>
    <cellStyle name="Финансовый 2 12 2 2 3" xfId="3146"/>
    <cellStyle name="Финансовый 2 12 2 2 4" xfId="4790"/>
    <cellStyle name="Финансовый 2 12 2 3" xfId="2064"/>
    <cellStyle name="Финансовый 2 12 2 3 2" xfId="3709"/>
    <cellStyle name="Финансовый 2 12 2 3 3" xfId="5492"/>
    <cellStyle name="Финансовый 2 12 2 4" xfId="2593"/>
    <cellStyle name="Финансовый 2 12 2 4 2" xfId="4238"/>
    <cellStyle name="Финансовый 2 12 2 4 3" xfId="6021"/>
    <cellStyle name="Финансовый 2 12 2 5" xfId="1097"/>
    <cellStyle name="Финансовый 2 12 2 6" xfId="685"/>
    <cellStyle name="Финансовый 2 12 2 7" xfId="2874"/>
    <cellStyle name="Финансовый 2 12 2 8" xfId="4518"/>
    <cellStyle name="Финансовый 2 12 3" xfId="413"/>
    <cellStyle name="Финансовый 2 12 3 2" xfId="2192"/>
    <cellStyle name="Финансовый 2 12 3 2 2" xfId="3837"/>
    <cellStyle name="Финансовый 2 12 3 2 3" xfId="5620"/>
    <cellStyle name="Финансовый 2 12 3 3" xfId="1226"/>
    <cellStyle name="Финансовый 2 12 3 4" xfId="833"/>
    <cellStyle name="Финансовый 2 12 3 5" xfId="3010"/>
    <cellStyle name="Финансовый 2 12 3 6" xfId="4654"/>
    <cellStyle name="Финансовый 2 12 4" xfId="1450"/>
    <cellStyle name="Финансовый 2 12 4 2" xfId="1936"/>
    <cellStyle name="Финансовый 2 12 4 2 2" xfId="3581"/>
    <cellStyle name="Финансовый 2 12 4 2 3" xfId="5364"/>
    <cellStyle name="Финансовый 2 12 4 3" xfId="4878"/>
    <cellStyle name="Финансовый 2 12 5" xfId="1812"/>
    <cellStyle name="Финансовый 2 12 5 2" xfId="3457"/>
    <cellStyle name="Финансовый 2 12 5 3" xfId="5240"/>
    <cellStyle name="Финансовый 2 12 6" xfId="2457"/>
    <cellStyle name="Финансовый 2 12 6 2" xfId="4102"/>
    <cellStyle name="Финансовый 2 12 6 3" xfId="5885"/>
    <cellStyle name="Финансовый 2 12 7" xfId="1684"/>
    <cellStyle name="Финансовый 2 12 7 2" xfId="3329"/>
    <cellStyle name="Финансовый 2 12 7 3" xfId="5112"/>
    <cellStyle name="Финансовый 2 12 8" xfId="961"/>
    <cellStyle name="Финансовый 2 12 9" xfId="549"/>
    <cellStyle name="Финансовый 2 13" xfId="26"/>
    <cellStyle name="Финансовый 2 13 10" xfId="2638"/>
    <cellStyle name="Финансовый 2 13 11" xfId="4281"/>
    <cellStyle name="Финансовый 2 13 2" xfId="164"/>
    <cellStyle name="Финансовый 2 13 2 2" xfId="1262"/>
    <cellStyle name="Финансовый 2 13 2 2 2" xfId="2228"/>
    <cellStyle name="Финансовый 2 13 2 2 2 2" xfId="3873"/>
    <cellStyle name="Финансовый 2 13 2 2 2 3" xfId="5656"/>
    <cellStyle name="Финансовый 2 13 2 2 3" xfId="3046"/>
    <cellStyle name="Финансовый 2 13 2 2 4" xfId="4690"/>
    <cellStyle name="Финансовый 2 13 2 3" xfId="1972"/>
    <cellStyle name="Финансовый 2 13 2 3 2" xfId="3617"/>
    <cellStyle name="Финансовый 2 13 2 3 3" xfId="5400"/>
    <cellStyle name="Финансовый 2 13 2 4" xfId="2493"/>
    <cellStyle name="Финансовый 2 13 2 4 2" xfId="4138"/>
    <cellStyle name="Финансовый 2 13 2 4 3" xfId="5921"/>
    <cellStyle name="Финансовый 2 13 2 5" xfId="997"/>
    <cellStyle name="Финансовый 2 13 2 6" xfId="585"/>
    <cellStyle name="Финансовый 2 13 2 7" xfId="2774"/>
    <cellStyle name="Финансовый 2 13 2 8" xfId="4418"/>
    <cellStyle name="Финансовый 2 13 3" xfId="313"/>
    <cellStyle name="Финансовый 2 13 3 2" xfId="2100"/>
    <cellStyle name="Финансовый 2 13 3 2 2" xfId="3745"/>
    <cellStyle name="Финансовый 2 13 3 2 3" xfId="5528"/>
    <cellStyle name="Финансовый 2 13 3 3" xfId="1133"/>
    <cellStyle name="Финансовый 2 13 3 4" xfId="733"/>
    <cellStyle name="Финансовый 2 13 3 5" xfId="2910"/>
    <cellStyle name="Финансовый 2 13 3 6" xfId="4554"/>
    <cellStyle name="Финансовый 2 13 4" xfId="1451"/>
    <cellStyle name="Финансовый 2 13 4 2" xfId="1836"/>
    <cellStyle name="Финансовый 2 13 4 2 2" xfId="3481"/>
    <cellStyle name="Финансовый 2 13 4 2 3" xfId="5264"/>
    <cellStyle name="Финансовый 2 13 4 3" xfId="4879"/>
    <cellStyle name="Финансовый 2 13 5" xfId="1720"/>
    <cellStyle name="Финансовый 2 13 5 2" xfId="3365"/>
    <cellStyle name="Финансовый 2 13 5 3" xfId="5148"/>
    <cellStyle name="Финансовый 2 13 6" xfId="2356"/>
    <cellStyle name="Финансовый 2 13 6 2" xfId="4001"/>
    <cellStyle name="Финансовый 2 13 6 3" xfId="5784"/>
    <cellStyle name="Финансовый 2 13 7" xfId="1583"/>
    <cellStyle name="Финансовый 2 13 7 2" xfId="3228"/>
    <cellStyle name="Финансовый 2 13 7 3" xfId="5011"/>
    <cellStyle name="Финансовый 2 13 8" xfId="869"/>
    <cellStyle name="Финансовый 2 13 9" xfId="449"/>
    <cellStyle name="Финансовый 2 14" xfId="14"/>
    <cellStyle name="Финансовый 2 14 10" xfId="2626"/>
    <cellStyle name="Финансовый 2 14 11" xfId="4269"/>
    <cellStyle name="Финансовый 2 14 2" xfId="152"/>
    <cellStyle name="Финансовый 2 14 2 2" xfId="1250"/>
    <cellStyle name="Финансовый 2 14 2 2 2" xfId="2216"/>
    <cellStyle name="Финансовый 2 14 2 2 2 2" xfId="3861"/>
    <cellStyle name="Финансовый 2 14 2 2 2 3" xfId="5644"/>
    <cellStyle name="Финансовый 2 14 2 2 3" xfId="3034"/>
    <cellStyle name="Финансовый 2 14 2 2 4" xfId="4678"/>
    <cellStyle name="Финансовый 2 14 2 3" xfId="1960"/>
    <cellStyle name="Финансовый 2 14 2 3 2" xfId="3605"/>
    <cellStyle name="Финансовый 2 14 2 3 3" xfId="5388"/>
    <cellStyle name="Финансовый 2 14 2 4" xfId="2481"/>
    <cellStyle name="Финансовый 2 14 2 4 2" xfId="4126"/>
    <cellStyle name="Финансовый 2 14 2 4 3" xfId="5909"/>
    <cellStyle name="Финансовый 2 14 2 5" xfId="985"/>
    <cellStyle name="Финансовый 2 14 2 6" xfId="573"/>
    <cellStyle name="Финансовый 2 14 2 7" xfId="2762"/>
    <cellStyle name="Финансовый 2 14 2 8" xfId="4406"/>
    <cellStyle name="Финансовый 2 14 3" xfId="301"/>
    <cellStyle name="Финансовый 2 14 3 2" xfId="2088"/>
    <cellStyle name="Финансовый 2 14 3 2 2" xfId="3733"/>
    <cellStyle name="Финансовый 2 14 3 2 3" xfId="5516"/>
    <cellStyle name="Финансовый 2 14 3 3" xfId="1121"/>
    <cellStyle name="Финансовый 2 14 3 4" xfId="721"/>
    <cellStyle name="Финансовый 2 14 3 5" xfId="2898"/>
    <cellStyle name="Финансовый 2 14 3 6" xfId="4542"/>
    <cellStyle name="Финансовый 2 14 4" xfId="1452"/>
    <cellStyle name="Финансовый 2 14 4 2" xfId="1824"/>
    <cellStyle name="Финансовый 2 14 4 2 2" xfId="3469"/>
    <cellStyle name="Финансовый 2 14 4 2 3" xfId="5252"/>
    <cellStyle name="Финансовый 2 14 4 3" xfId="4880"/>
    <cellStyle name="Финансовый 2 14 5" xfId="1708"/>
    <cellStyle name="Финансовый 2 14 5 2" xfId="3353"/>
    <cellStyle name="Финансовый 2 14 5 3" xfId="5136"/>
    <cellStyle name="Финансовый 2 14 6" xfId="2344"/>
    <cellStyle name="Финансовый 2 14 6 2" xfId="3989"/>
    <cellStyle name="Финансовый 2 14 6 3" xfId="5772"/>
    <cellStyle name="Финансовый 2 14 7" xfId="1571"/>
    <cellStyle name="Финансовый 2 14 7 2" xfId="3216"/>
    <cellStyle name="Финансовый 2 14 7 3" xfId="4999"/>
    <cellStyle name="Финансовый 2 14 8" xfId="857"/>
    <cellStyle name="Финансовый 2 14 9" xfId="437"/>
    <cellStyle name="Финансовый 2 15" xfId="140"/>
    <cellStyle name="Финансовый 2 15 2" xfId="1238"/>
    <cellStyle name="Финансовый 2 15 2 2" xfId="2204"/>
    <cellStyle name="Финансовый 2 15 2 2 2" xfId="3849"/>
    <cellStyle name="Финансовый 2 15 2 2 3" xfId="5632"/>
    <cellStyle name="Финансовый 2 15 2 3" xfId="3022"/>
    <cellStyle name="Финансовый 2 15 2 4" xfId="4666"/>
    <cellStyle name="Финансовый 2 15 3" xfId="1948"/>
    <cellStyle name="Финансовый 2 15 3 2" xfId="3593"/>
    <cellStyle name="Финансовый 2 15 3 3" xfId="5376"/>
    <cellStyle name="Финансовый 2 15 4" xfId="2469"/>
    <cellStyle name="Финансовый 2 15 4 2" xfId="4114"/>
    <cellStyle name="Финансовый 2 15 4 3" xfId="5897"/>
    <cellStyle name="Финансовый 2 15 5" xfId="973"/>
    <cellStyle name="Финансовый 2 15 6" xfId="561"/>
    <cellStyle name="Финансовый 2 15 7" xfId="2750"/>
    <cellStyle name="Финансовый 2 15 8" xfId="4394"/>
    <cellStyle name="Финансовый 2 16" xfId="276"/>
    <cellStyle name="Финансовый 2 16 2" xfId="2076"/>
    <cellStyle name="Финансовый 2 16 2 2" xfId="3721"/>
    <cellStyle name="Финансовый 2 16 2 3" xfId="5504"/>
    <cellStyle name="Финансовый 2 16 3" xfId="1374"/>
    <cellStyle name="Финансовый 2 16 4" xfId="697"/>
    <cellStyle name="Финансовый 2 16 5" xfId="3158"/>
    <cellStyle name="Финансовый 2 16 6" xfId="4802"/>
    <cellStyle name="Финансовый 2 17" xfId="289"/>
    <cellStyle name="Финансовый 2 17 2" xfId="1109"/>
    <cellStyle name="Финансовый 2 17 3" xfId="709"/>
    <cellStyle name="Финансовый 2 17 4" xfId="2886"/>
    <cellStyle name="Финансовый 2 17 5" xfId="4530"/>
    <cellStyle name="Финансовый 2 18" xfId="1445"/>
    <cellStyle name="Финансовый 2 18 2" xfId="1696"/>
    <cellStyle name="Финансовый 2 18 2 2" xfId="3341"/>
    <cellStyle name="Финансовый 2 18 2 3" xfId="5124"/>
    <cellStyle name="Финансовый 2 18 3" xfId="4873"/>
    <cellStyle name="Финансовый 2 19" xfId="2332"/>
    <cellStyle name="Финансовый 2 19 2" xfId="3977"/>
    <cellStyle name="Финансовый 2 19 3" xfId="5760"/>
    <cellStyle name="Финансовый 2 2" xfId="4"/>
    <cellStyle name="Финансовый 2 2 10" xfId="28"/>
    <cellStyle name="Финансовый 2 2 10 10" xfId="2640"/>
    <cellStyle name="Финансовый 2 2 10 11" xfId="4283"/>
    <cellStyle name="Финансовый 2 2 10 2" xfId="166"/>
    <cellStyle name="Финансовый 2 2 10 2 2" xfId="1264"/>
    <cellStyle name="Финансовый 2 2 10 2 2 2" xfId="2230"/>
    <cellStyle name="Финансовый 2 2 10 2 2 2 2" xfId="3875"/>
    <cellStyle name="Финансовый 2 2 10 2 2 2 3" xfId="5658"/>
    <cellStyle name="Финансовый 2 2 10 2 2 3" xfId="3048"/>
    <cellStyle name="Финансовый 2 2 10 2 2 4" xfId="4692"/>
    <cellStyle name="Финансовый 2 2 10 2 3" xfId="1974"/>
    <cellStyle name="Финансовый 2 2 10 2 3 2" xfId="3619"/>
    <cellStyle name="Финансовый 2 2 10 2 3 3" xfId="5402"/>
    <cellStyle name="Финансовый 2 2 10 2 4" xfId="2495"/>
    <cellStyle name="Финансовый 2 2 10 2 4 2" xfId="4140"/>
    <cellStyle name="Финансовый 2 2 10 2 4 3" xfId="5923"/>
    <cellStyle name="Финансовый 2 2 10 2 5" xfId="999"/>
    <cellStyle name="Финансовый 2 2 10 2 6" xfId="587"/>
    <cellStyle name="Финансовый 2 2 10 2 7" xfId="2776"/>
    <cellStyle name="Финансовый 2 2 10 2 8" xfId="4420"/>
    <cellStyle name="Финансовый 2 2 10 3" xfId="315"/>
    <cellStyle name="Финансовый 2 2 10 3 2" xfId="2102"/>
    <cellStyle name="Финансовый 2 2 10 3 2 2" xfId="3747"/>
    <cellStyle name="Финансовый 2 2 10 3 2 3" xfId="5530"/>
    <cellStyle name="Финансовый 2 2 10 3 3" xfId="1135"/>
    <cellStyle name="Финансовый 2 2 10 3 4" xfId="735"/>
    <cellStyle name="Финансовый 2 2 10 3 5" xfId="2912"/>
    <cellStyle name="Финансовый 2 2 10 3 6" xfId="4556"/>
    <cellStyle name="Финансовый 2 2 10 4" xfId="1455"/>
    <cellStyle name="Финансовый 2 2 10 4 2" xfId="1838"/>
    <cellStyle name="Финансовый 2 2 10 4 2 2" xfId="3483"/>
    <cellStyle name="Финансовый 2 2 10 4 2 3" xfId="5266"/>
    <cellStyle name="Финансовый 2 2 10 4 3" xfId="4883"/>
    <cellStyle name="Финансовый 2 2 10 5" xfId="1722"/>
    <cellStyle name="Финансовый 2 2 10 5 2" xfId="3367"/>
    <cellStyle name="Финансовый 2 2 10 5 3" xfId="5150"/>
    <cellStyle name="Финансовый 2 2 10 6" xfId="2358"/>
    <cellStyle name="Финансовый 2 2 10 6 2" xfId="4003"/>
    <cellStyle name="Финансовый 2 2 10 6 3" xfId="5786"/>
    <cellStyle name="Финансовый 2 2 10 7" xfId="1585"/>
    <cellStyle name="Финансовый 2 2 10 7 2" xfId="3230"/>
    <cellStyle name="Финансовый 2 2 10 7 3" xfId="5013"/>
    <cellStyle name="Финансовый 2 2 10 8" xfId="871"/>
    <cellStyle name="Финансовый 2 2 10 9" xfId="451"/>
    <cellStyle name="Финансовый 2 2 11" xfId="16"/>
    <cellStyle name="Финансовый 2 2 11 10" xfId="2628"/>
    <cellStyle name="Финансовый 2 2 11 11" xfId="4271"/>
    <cellStyle name="Финансовый 2 2 11 2" xfId="154"/>
    <cellStyle name="Финансовый 2 2 11 2 2" xfId="1252"/>
    <cellStyle name="Финансовый 2 2 11 2 2 2" xfId="2218"/>
    <cellStyle name="Финансовый 2 2 11 2 2 2 2" xfId="3863"/>
    <cellStyle name="Финансовый 2 2 11 2 2 2 3" xfId="5646"/>
    <cellStyle name="Финансовый 2 2 11 2 2 3" xfId="3036"/>
    <cellStyle name="Финансовый 2 2 11 2 2 4" xfId="4680"/>
    <cellStyle name="Финансовый 2 2 11 2 3" xfId="1962"/>
    <cellStyle name="Финансовый 2 2 11 2 3 2" xfId="3607"/>
    <cellStyle name="Финансовый 2 2 11 2 3 3" xfId="5390"/>
    <cellStyle name="Финансовый 2 2 11 2 4" xfId="2483"/>
    <cellStyle name="Финансовый 2 2 11 2 4 2" xfId="4128"/>
    <cellStyle name="Финансовый 2 2 11 2 4 3" xfId="5911"/>
    <cellStyle name="Финансовый 2 2 11 2 5" xfId="987"/>
    <cellStyle name="Финансовый 2 2 11 2 6" xfId="575"/>
    <cellStyle name="Финансовый 2 2 11 2 7" xfId="2764"/>
    <cellStyle name="Финансовый 2 2 11 2 8" xfId="4408"/>
    <cellStyle name="Финансовый 2 2 11 3" xfId="303"/>
    <cellStyle name="Финансовый 2 2 11 3 2" xfId="2090"/>
    <cellStyle name="Финансовый 2 2 11 3 2 2" xfId="3735"/>
    <cellStyle name="Финансовый 2 2 11 3 2 3" xfId="5518"/>
    <cellStyle name="Финансовый 2 2 11 3 3" xfId="1123"/>
    <cellStyle name="Финансовый 2 2 11 3 4" xfId="723"/>
    <cellStyle name="Финансовый 2 2 11 3 5" xfId="2900"/>
    <cellStyle name="Финансовый 2 2 11 3 6" xfId="4544"/>
    <cellStyle name="Финансовый 2 2 11 4" xfId="1424"/>
    <cellStyle name="Финансовый 2 2 11 4 2" xfId="1826"/>
    <cellStyle name="Финансовый 2 2 11 4 2 2" xfId="3471"/>
    <cellStyle name="Финансовый 2 2 11 4 2 3" xfId="5254"/>
    <cellStyle name="Финансовый 2 2 11 4 3" xfId="4852"/>
    <cellStyle name="Финансовый 2 2 11 5" xfId="1710"/>
    <cellStyle name="Финансовый 2 2 11 5 2" xfId="3355"/>
    <cellStyle name="Финансовый 2 2 11 5 3" xfId="5138"/>
    <cellStyle name="Финансовый 2 2 11 6" xfId="2346"/>
    <cellStyle name="Финансовый 2 2 11 6 2" xfId="3991"/>
    <cellStyle name="Финансовый 2 2 11 6 3" xfId="5774"/>
    <cellStyle name="Финансовый 2 2 11 7" xfId="1573"/>
    <cellStyle name="Финансовый 2 2 11 7 2" xfId="3218"/>
    <cellStyle name="Финансовый 2 2 11 7 3" xfId="5001"/>
    <cellStyle name="Финансовый 2 2 11 8" xfId="859"/>
    <cellStyle name="Финансовый 2 2 11 9" xfId="439"/>
    <cellStyle name="Финансовый 2 2 12" xfId="142"/>
    <cellStyle name="Финансовый 2 2 12 2" xfId="1240"/>
    <cellStyle name="Финансовый 2 2 12 2 2" xfId="2206"/>
    <cellStyle name="Финансовый 2 2 12 2 2 2" xfId="3851"/>
    <cellStyle name="Финансовый 2 2 12 2 2 3" xfId="5634"/>
    <cellStyle name="Финансовый 2 2 12 2 3" xfId="3024"/>
    <cellStyle name="Финансовый 2 2 12 2 4" xfId="4668"/>
    <cellStyle name="Финансовый 2 2 12 3" xfId="1950"/>
    <cellStyle name="Финансовый 2 2 12 3 2" xfId="3595"/>
    <cellStyle name="Финансовый 2 2 12 3 3" xfId="5378"/>
    <cellStyle name="Финансовый 2 2 12 4" xfId="2471"/>
    <cellStyle name="Финансовый 2 2 12 4 2" xfId="4116"/>
    <cellStyle name="Финансовый 2 2 12 4 3" xfId="5899"/>
    <cellStyle name="Финансовый 2 2 12 5" xfId="975"/>
    <cellStyle name="Финансовый 2 2 12 6" xfId="563"/>
    <cellStyle name="Финансовый 2 2 12 7" xfId="2752"/>
    <cellStyle name="Финансовый 2 2 12 8" xfId="4396"/>
    <cellStyle name="Финансовый 2 2 13" xfId="278"/>
    <cellStyle name="Финансовый 2 2 13 2" xfId="2078"/>
    <cellStyle name="Финансовый 2 2 13 2 2" xfId="3723"/>
    <cellStyle name="Финансовый 2 2 13 2 3" xfId="5506"/>
    <cellStyle name="Финансовый 2 2 13 3" xfId="1376"/>
    <cellStyle name="Финансовый 2 2 13 4" xfId="699"/>
    <cellStyle name="Финансовый 2 2 13 5" xfId="3160"/>
    <cellStyle name="Финансовый 2 2 13 6" xfId="4804"/>
    <cellStyle name="Финансовый 2 2 14" xfId="291"/>
    <cellStyle name="Финансовый 2 2 14 2" xfId="1111"/>
    <cellStyle name="Финансовый 2 2 14 3" xfId="711"/>
    <cellStyle name="Финансовый 2 2 14 4" xfId="2888"/>
    <cellStyle name="Финансовый 2 2 14 5" xfId="4532"/>
    <cellStyle name="Финансовый 2 2 15" xfId="1454"/>
    <cellStyle name="Финансовый 2 2 15 2" xfId="1698"/>
    <cellStyle name="Финансовый 2 2 15 2 2" xfId="3343"/>
    <cellStyle name="Финансовый 2 2 15 2 3" xfId="5126"/>
    <cellStyle name="Финансовый 2 2 15 3" xfId="4882"/>
    <cellStyle name="Финансовый 2 2 16" xfId="2334"/>
    <cellStyle name="Финансовый 2 2 16 2" xfId="3979"/>
    <cellStyle name="Финансовый 2 2 16 3" xfId="5762"/>
    <cellStyle name="Финансовый 2 2 17" xfId="1561"/>
    <cellStyle name="Финансовый 2 2 17 2" xfId="3206"/>
    <cellStyle name="Финансовый 2 2 17 3" xfId="4989"/>
    <cellStyle name="Финансовый 2 2 18" xfId="847"/>
    <cellStyle name="Финансовый 2 2 19" xfId="427"/>
    <cellStyle name="Финансовый 2 2 2" xfId="10"/>
    <cellStyle name="Финансовый 2 2 2 10" xfId="284"/>
    <cellStyle name="Финансовый 2 2 2 10 2" xfId="2084"/>
    <cellStyle name="Финансовый 2 2 2 10 2 2" xfId="3729"/>
    <cellStyle name="Финансовый 2 2 2 10 2 3" xfId="5512"/>
    <cellStyle name="Финансовый 2 2 2 10 3" xfId="1382"/>
    <cellStyle name="Финансовый 2 2 2 10 4" xfId="705"/>
    <cellStyle name="Финансовый 2 2 2 10 5" xfId="3166"/>
    <cellStyle name="Финансовый 2 2 2 10 6" xfId="4810"/>
    <cellStyle name="Финансовый 2 2 2 11" xfId="297"/>
    <cellStyle name="Финансовый 2 2 2 11 2" xfId="1117"/>
    <cellStyle name="Финансовый 2 2 2 11 3" xfId="717"/>
    <cellStyle name="Финансовый 2 2 2 11 4" xfId="2894"/>
    <cellStyle name="Финансовый 2 2 2 11 5" xfId="4538"/>
    <cellStyle name="Финансовый 2 2 2 12" xfId="1457"/>
    <cellStyle name="Финансовый 2 2 2 12 2" xfId="1704"/>
    <cellStyle name="Финансовый 2 2 2 12 2 2" xfId="3349"/>
    <cellStyle name="Финансовый 2 2 2 12 2 3" xfId="5132"/>
    <cellStyle name="Финансовый 2 2 2 12 3" xfId="4885"/>
    <cellStyle name="Финансовый 2 2 2 13" xfId="2340"/>
    <cellStyle name="Финансовый 2 2 2 13 2" xfId="3985"/>
    <cellStyle name="Финансовый 2 2 2 13 3" xfId="5768"/>
    <cellStyle name="Финансовый 2 2 2 14" xfId="1567"/>
    <cellStyle name="Финансовый 2 2 2 14 2" xfId="3212"/>
    <cellStyle name="Финансовый 2 2 2 14 3" xfId="4995"/>
    <cellStyle name="Финансовый 2 2 2 15" xfId="853"/>
    <cellStyle name="Финансовый 2 2 2 16" xfId="433"/>
    <cellStyle name="Финансовый 2 2 2 17" xfId="2622"/>
    <cellStyle name="Финансовый 2 2 2 18" xfId="4265"/>
    <cellStyle name="Финансовый 2 2 2 2" xfId="46"/>
    <cellStyle name="Финансовый 2 2 2 2 10" xfId="469"/>
    <cellStyle name="Финансовый 2 2 2 2 11" xfId="2658"/>
    <cellStyle name="Финансовый 2 2 2 2 12" xfId="4301"/>
    <cellStyle name="Финансовый 2 2 2 2 2" xfId="104"/>
    <cellStyle name="Финансовый 2 2 2 2 2 10" xfId="2714"/>
    <cellStyle name="Финансовый 2 2 2 2 2 11" xfId="4358"/>
    <cellStyle name="Финансовый 2 2 2 2 2 2" xfId="240"/>
    <cellStyle name="Финансовый 2 2 2 2 2 2 2" xfId="1338"/>
    <cellStyle name="Финансовый 2 2 2 2 2 2 2 2" xfId="2296"/>
    <cellStyle name="Финансовый 2 2 2 2 2 2 2 2 2" xfId="3941"/>
    <cellStyle name="Финансовый 2 2 2 2 2 2 2 2 3" xfId="5724"/>
    <cellStyle name="Финансовый 2 2 2 2 2 2 2 3" xfId="3122"/>
    <cellStyle name="Финансовый 2 2 2 2 2 2 2 4" xfId="4766"/>
    <cellStyle name="Финансовый 2 2 2 2 2 2 3" xfId="2040"/>
    <cellStyle name="Финансовый 2 2 2 2 2 2 3 2" xfId="3685"/>
    <cellStyle name="Финансовый 2 2 2 2 2 2 3 3" xfId="5468"/>
    <cellStyle name="Финансовый 2 2 2 2 2 2 4" xfId="2569"/>
    <cellStyle name="Финансовый 2 2 2 2 2 2 4 2" xfId="4214"/>
    <cellStyle name="Финансовый 2 2 2 2 2 2 4 3" xfId="5997"/>
    <cellStyle name="Финансовый 2 2 2 2 2 2 5" xfId="1073"/>
    <cellStyle name="Финансовый 2 2 2 2 2 2 6" xfId="661"/>
    <cellStyle name="Финансовый 2 2 2 2 2 2 7" xfId="2850"/>
    <cellStyle name="Финансовый 2 2 2 2 2 2 8" xfId="4494"/>
    <cellStyle name="Финансовый 2 2 2 2 2 3" xfId="389"/>
    <cellStyle name="Финансовый 2 2 2 2 2 3 2" xfId="2168"/>
    <cellStyle name="Финансовый 2 2 2 2 2 3 2 2" xfId="3813"/>
    <cellStyle name="Финансовый 2 2 2 2 2 3 2 3" xfId="5596"/>
    <cellStyle name="Финансовый 2 2 2 2 2 3 3" xfId="1202"/>
    <cellStyle name="Финансовый 2 2 2 2 2 3 4" xfId="809"/>
    <cellStyle name="Финансовый 2 2 2 2 2 3 5" xfId="2986"/>
    <cellStyle name="Финансовый 2 2 2 2 2 3 6" xfId="4630"/>
    <cellStyle name="Финансовый 2 2 2 2 2 4" xfId="1460"/>
    <cellStyle name="Финансовый 2 2 2 2 2 4 2" xfId="1912"/>
    <cellStyle name="Финансовый 2 2 2 2 2 4 2 2" xfId="3557"/>
    <cellStyle name="Финансовый 2 2 2 2 2 4 2 3" xfId="5340"/>
    <cellStyle name="Финансовый 2 2 2 2 2 4 3" xfId="4888"/>
    <cellStyle name="Финансовый 2 2 2 2 2 5" xfId="1788"/>
    <cellStyle name="Финансовый 2 2 2 2 2 5 2" xfId="3433"/>
    <cellStyle name="Финансовый 2 2 2 2 2 5 3" xfId="5216"/>
    <cellStyle name="Финансовый 2 2 2 2 2 6" xfId="2433"/>
    <cellStyle name="Финансовый 2 2 2 2 2 6 2" xfId="4078"/>
    <cellStyle name="Финансовый 2 2 2 2 2 6 3" xfId="5861"/>
    <cellStyle name="Финансовый 2 2 2 2 2 7" xfId="1660"/>
    <cellStyle name="Финансовый 2 2 2 2 2 7 2" xfId="3305"/>
    <cellStyle name="Финансовый 2 2 2 2 2 7 3" xfId="5088"/>
    <cellStyle name="Финансовый 2 2 2 2 2 8" xfId="937"/>
    <cellStyle name="Финансовый 2 2 2 2 2 9" xfId="525"/>
    <cellStyle name="Финансовый 2 2 2 2 3" xfId="184"/>
    <cellStyle name="Финансовый 2 2 2 2 3 2" xfId="1282"/>
    <cellStyle name="Финансовый 2 2 2 2 3 2 2" xfId="2248"/>
    <cellStyle name="Финансовый 2 2 2 2 3 2 2 2" xfId="3893"/>
    <cellStyle name="Финансовый 2 2 2 2 3 2 2 3" xfId="5676"/>
    <cellStyle name="Финансовый 2 2 2 2 3 2 3" xfId="3066"/>
    <cellStyle name="Финансовый 2 2 2 2 3 2 4" xfId="4710"/>
    <cellStyle name="Финансовый 2 2 2 2 3 3" xfId="1992"/>
    <cellStyle name="Финансовый 2 2 2 2 3 3 2" xfId="3637"/>
    <cellStyle name="Финансовый 2 2 2 2 3 3 3" xfId="5420"/>
    <cellStyle name="Финансовый 2 2 2 2 3 4" xfId="2513"/>
    <cellStyle name="Финансовый 2 2 2 2 3 4 2" xfId="4158"/>
    <cellStyle name="Финансовый 2 2 2 2 3 4 3" xfId="5941"/>
    <cellStyle name="Финансовый 2 2 2 2 3 5" xfId="1017"/>
    <cellStyle name="Финансовый 2 2 2 2 3 6" xfId="605"/>
    <cellStyle name="Финансовый 2 2 2 2 3 7" xfId="2794"/>
    <cellStyle name="Финансовый 2 2 2 2 3 8" xfId="4438"/>
    <cellStyle name="Финансовый 2 2 2 2 4" xfId="333"/>
    <cellStyle name="Финансовый 2 2 2 2 4 2" xfId="2120"/>
    <cellStyle name="Финансовый 2 2 2 2 4 2 2" xfId="3765"/>
    <cellStyle name="Финансовый 2 2 2 2 4 2 3" xfId="5548"/>
    <cellStyle name="Финансовый 2 2 2 2 4 3" xfId="1153"/>
    <cellStyle name="Финансовый 2 2 2 2 4 4" xfId="753"/>
    <cellStyle name="Финансовый 2 2 2 2 4 5" xfId="2930"/>
    <cellStyle name="Финансовый 2 2 2 2 4 6" xfId="4574"/>
    <cellStyle name="Финансовый 2 2 2 2 5" xfId="1458"/>
    <cellStyle name="Финансовый 2 2 2 2 5 2" xfId="1856"/>
    <cellStyle name="Финансовый 2 2 2 2 5 2 2" xfId="3501"/>
    <cellStyle name="Финансовый 2 2 2 2 5 2 3" xfId="5284"/>
    <cellStyle name="Финансовый 2 2 2 2 5 3" xfId="4886"/>
    <cellStyle name="Финансовый 2 2 2 2 6" xfId="1740"/>
    <cellStyle name="Финансовый 2 2 2 2 6 2" xfId="3385"/>
    <cellStyle name="Финансовый 2 2 2 2 6 3" xfId="5168"/>
    <cellStyle name="Финансовый 2 2 2 2 7" xfId="2376"/>
    <cellStyle name="Финансовый 2 2 2 2 7 2" xfId="4021"/>
    <cellStyle name="Финансовый 2 2 2 2 7 3" xfId="5804"/>
    <cellStyle name="Финансовый 2 2 2 2 8" xfId="1603"/>
    <cellStyle name="Финансовый 2 2 2 2 8 2" xfId="3248"/>
    <cellStyle name="Финансовый 2 2 2 2 8 3" xfId="5031"/>
    <cellStyle name="Финансовый 2 2 2 2 9" xfId="889"/>
    <cellStyle name="Финансовый 2 2 2 3" xfId="116"/>
    <cellStyle name="Финансовый 2 2 2 3 10" xfId="2726"/>
    <cellStyle name="Финансовый 2 2 2 3 11" xfId="4370"/>
    <cellStyle name="Финансовый 2 2 2 3 2" xfId="252"/>
    <cellStyle name="Финансовый 2 2 2 3 2 2" xfId="1350"/>
    <cellStyle name="Финансовый 2 2 2 3 2 2 2" xfId="2308"/>
    <cellStyle name="Финансовый 2 2 2 3 2 2 2 2" xfId="3953"/>
    <cellStyle name="Финансовый 2 2 2 3 2 2 2 3" xfId="5736"/>
    <cellStyle name="Финансовый 2 2 2 3 2 2 3" xfId="3134"/>
    <cellStyle name="Финансовый 2 2 2 3 2 2 4" xfId="4778"/>
    <cellStyle name="Финансовый 2 2 2 3 2 3" xfId="2052"/>
    <cellStyle name="Финансовый 2 2 2 3 2 3 2" xfId="3697"/>
    <cellStyle name="Финансовый 2 2 2 3 2 3 3" xfId="5480"/>
    <cellStyle name="Финансовый 2 2 2 3 2 4" xfId="2581"/>
    <cellStyle name="Финансовый 2 2 2 3 2 4 2" xfId="4226"/>
    <cellStyle name="Финансовый 2 2 2 3 2 4 3" xfId="6009"/>
    <cellStyle name="Финансовый 2 2 2 3 2 5" xfId="1085"/>
    <cellStyle name="Финансовый 2 2 2 3 2 6" xfId="673"/>
    <cellStyle name="Финансовый 2 2 2 3 2 7" xfId="2862"/>
    <cellStyle name="Финансовый 2 2 2 3 2 8" xfId="4506"/>
    <cellStyle name="Финансовый 2 2 2 3 3" xfId="401"/>
    <cellStyle name="Финансовый 2 2 2 3 3 2" xfId="2180"/>
    <cellStyle name="Финансовый 2 2 2 3 3 2 2" xfId="3825"/>
    <cellStyle name="Финансовый 2 2 2 3 3 2 3" xfId="5608"/>
    <cellStyle name="Финансовый 2 2 2 3 3 3" xfId="1214"/>
    <cellStyle name="Финансовый 2 2 2 3 3 4" xfId="821"/>
    <cellStyle name="Финансовый 2 2 2 3 3 5" xfId="2998"/>
    <cellStyle name="Финансовый 2 2 2 3 3 6" xfId="4642"/>
    <cellStyle name="Финансовый 2 2 2 3 4" xfId="1461"/>
    <cellStyle name="Финансовый 2 2 2 3 4 2" xfId="1924"/>
    <cellStyle name="Финансовый 2 2 2 3 4 2 2" xfId="3569"/>
    <cellStyle name="Финансовый 2 2 2 3 4 2 3" xfId="5352"/>
    <cellStyle name="Финансовый 2 2 2 3 4 3" xfId="4889"/>
    <cellStyle name="Финансовый 2 2 2 3 5" xfId="1800"/>
    <cellStyle name="Финансовый 2 2 2 3 5 2" xfId="3445"/>
    <cellStyle name="Финансовый 2 2 2 3 5 3" xfId="5228"/>
    <cellStyle name="Финансовый 2 2 2 3 6" xfId="2445"/>
    <cellStyle name="Финансовый 2 2 2 3 6 2" xfId="4090"/>
    <cellStyle name="Финансовый 2 2 2 3 6 3" xfId="5873"/>
    <cellStyle name="Финансовый 2 2 2 3 7" xfId="1672"/>
    <cellStyle name="Финансовый 2 2 2 3 7 2" xfId="3317"/>
    <cellStyle name="Финансовый 2 2 2 3 7 3" xfId="5100"/>
    <cellStyle name="Финансовый 2 2 2 3 8" xfId="949"/>
    <cellStyle name="Финансовый 2 2 2 3 9" xfId="537"/>
    <cellStyle name="Финансовый 2 2 2 4" xfId="80"/>
    <cellStyle name="Финансовый 2 2 2 4 10" xfId="2690"/>
    <cellStyle name="Финансовый 2 2 2 4 11" xfId="4334"/>
    <cellStyle name="Финансовый 2 2 2 4 2" xfId="216"/>
    <cellStyle name="Финансовый 2 2 2 4 2 2" xfId="1314"/>
    <cellStyle name="Финансовый 2 2 2 4 2 2 2" xfId="2272"/>
    <cellStyle name="Финансовый 2 2 2 4 2 2 2 2" xfId="3917"/>
    <cellStyle name="Финансовый 2 2 2 4 2 2 2 3" xfId="5700"/>
    <cellStyle name="Финансовый 2 2 2 4 2 2 3" xfId="3098"/>
    <cellStyle name="Финансовый 2 2 2 4 2 2 4" xfId="4742"/>
    <cellStyle name="Финансовый 2 2 2 4 2 3" xfId="2016"/>
    <cellStyle name="Финансовый 2 2 2 4 2 3 2" xfId="3661"/>
    <cellStyle name="Финансовый 2 2 2 4 2 3 3" xfId="5444"/>
    <cellStyle name="Финансовый 2 2 2 4 2 4" xfId="2545"/>
    <cellStyle name="Финансовый 2 2 2 4 2 4 2" xfId="4190"/>
    <cellStyle name="Финансовый 2 2 2 4 2 4 3" xfId="5973"/>
    <cellStyle name="Финансовый 2 2 2 4 2 5" xfId="1049"/>
    <cellStyle name="Финансовый 2 2 2 4 2 6" xfId="637"/>
    <cellStyle name="Финансовый 2 2 2 4 2 7" xfId="2826"/>
    <cellStyle name="Финансовый 2 2 2 4 2 8" xfId="4470"/>
    <cellStyle name="Финансовый 2 2 2 4 3" xfId="365"/>
    <cellStyle name="Финансовый 2 2 2 4 3 2" xfId="2144"/>
    <cellStyle name="Финансовый 2 2 2 4 3 2 2" xfId="3789"/>
    <cellStyle name="Финансовый 2 2 2 4 3 2 3" xfId="5572"/>
    <cellStyle name="Финансовый 2 2 2 4 3 3" xfId="1178"/>
    <cellStyle name="Финансовый 2 2 2 4 3 4" xfId="785"/>
    <cellStyle name="Финансовый 2 2 2 4 3 5" xfId="2962"/>
    <cellStyle name="Финансовый 2 2 2 4 3 6" xfId="4606"/>
    <cellStyle name="Финансовый 2 2 2 4 4" xfId="1462"/>
    <cellStyle name="Финансовый 2 2 2 4 4 2" xfId="1888"/>
    <cellStyle name="Финансовый 2 2 2 4 4 2 2" xfId="3533"/>
    <cellStyle name="Финансовый 2 2 2 4 4 2 3" xfId="5316"/>
    <cellStyle name="Финансовый 2 2 2 4 4 3" xfId="4890"/>
    <cellStyle name="Финансовый 2 2 2 4 5" xfId="1764"/>
    <cellStyle name="Финансовый 2 2 2 4 5 2" xfId="3409"/>
    <cellStyle name="Финансовый 2 2 2 4 5 3" xfId="5192"/>
    <cellStyle name="Финансовый 2 2 2 4 6" xfId="2409"/>
    <cellStyle name="Финансовый 2 2 2 4 6 2" xfId="4054"/>
    <cellStyle name="Финансовый 2 2 2 4 6 3" xfId="5837"/>
    <cellStyle name="Финансовый 2 2 2 4 7" xfId="1636"/>
    <cellStyle name="Финансовый 2 2 2 4 7 2" xfId="3281"/>
    <cellStyle name="Финансовый 2 2 2 4 7 3" xfId="5064"/>
    <cellStyle name="Финансовый 2 2 2 4 8" xfId="913"/>
    <cellStyle name="Финансовый 2 2 2 4 9" xfId="501"/>
    <cellStyle name="Финансовый 2 2 2 5" xfId="58"/>
    <cellStyle name="Финансовый 2 2 2 5 10" xfId="2670"/>
    <cellStyle name="Финансовый 2 2 2 5 11" xfId="4313"/>
    <cellStyle name="Финансовый 2 2 2 5 2" xfId="196"/>
    <cellStyle name="Финансовый 2 2 2 5 2 2" xfId="1294"/>
    <cellStyle name="Финансовый 2 2 2 5 2 2 2" xfId="2260"/>
    <cellStyle name="Финансовый 2 2 2 5 2 2 2 2" xfId="3905"/>
    <cellStyle name="Финансовый 2 2 2 5 2 2 2 3" xfId="5688"/>
    <cellStyle name="Финансовый 2 2 2 5 2 2 3" xfId="3078"/>
    <cellStyle name="Финансовый 2 2 2 5 2 2 4" xfId="4722"/>
    <cellStyle name="Финансовый 2 2 2 5 2 3" xfId="2004"/>
    <cellStyle name="Финансовый 2 2 2 5 2 3 2" xfId="3649"/>
    <cellStyle name="Финансовый 2 2 2 5 2 3 3" xfId="5432"/>
    <cellStyle name="Финансовый 2 2 2 5 2 4" xfId="2525"/>
    <cellStyle name="Финансовый 2 2 2 5 2 4 2" xfId="4170"/>
    <cellStyle name="Финансовый 2 2 2 5 2 4 3" xfId="5953"/>
    <cellStyle name="Финансовый 2 2 2 5 2 5" xfId="1029"/>
    <cellStyle name="Финансовый 2 2 2 5 2 6" xfId="617"/>
    <cellStyle name="Финансовый 2 2 2 5 2 7" xfId="2806"/>
    <cellStyle name="Финансовый 2 2 2 5 2 8" xfId="4450"/>
    <cellStyle name="Финансовый 2 2 2 5 3" xfId="345"/>
    <cellStyle name="Финансовый 2 2 2 5 3 2" xfId="2132"/>
    <cellStyle name="Финансовый 2 2 2 5 3 2 2" xfId="3777"/>
    <cellStyle name="Финансовый 2 2 2 5 3 2 3" xfId="5560"/>
    <cellStyle name="Финансовый 2 2 2 5 3 3" xfId="1165"/>
    <cellStyle name="Финансовый 2 2 2 5 3 4" xfId="765"/>
    <cellStyle name="Финансовый 2 2 2 5 3 5" xfId="2942"/>
    <cellStyle name="Финансовый 2 2 2 5 3 6" xfId="4586"/>
    <cellStyle name="Финансовый 2 2 2 5 4" xfId="1463"/>
    <cellStyle name="Финансовый 2 2 2 5 4 2" xfId="1868"/>
    <cellStyle name="Финансовый 2 2 2 5 4 2 2" xfId="3513"/>
    <cellStyle name="Финансовый 2 2 2 5 4 2 3" xfId="5296"/>
    <cellStyle name="Финансовый 2 2 2 5 4 3" xfId="4891"/>
    <cellStyle name="Финансовый 2 2 2 5 5" xfId="1752"/>
    <cellStyle name="Финансовый 2 2 2 5 5 2" xfId="3397"/>
    <cellStyle name="Финансовый 2 2 2 5 5 3" xfId="5180"/>
    <cellStyle name="Финансовый 2 2 2 5 6" xfId="2388"/>
    <cellStyle name="Финансовый 2 2 2 5 6 2" xfId="4033"/>
    <cellStyle name="Финансовый 2 2 2 5 6 3" xfId="5816"/>
    <cellStyle name="Финансовый 2 2 2 5 7" xfId="1615"/>
    <cellStyle name="Финансовый 2 2 2 5 7 2" xfId="3260"/>
    <cellStyle name="Финансовый 2 2 2 5 7 3" xfId="5043"/>
    <cellStyle name="Финансовый 2 2 2 5 8" xfId="901"/>
    <cellStyle name="Финансовый 2 2 2 5 9" xfId="481"/>
    <cellStyle name="Финансовый 2 2 2 6" xfId="136"/>
    <cellStyle name="Финансовый 2 2 2 6 10" xfId="2746"/>
    <cellStyle name="Финансовый 2 2 2 6 11" xfId="4390"/>
    <cellStyle name="Финансовый 2 2 2 6 2" xfId="272"/>
    <cellStyle name="Финансовый 2 2 2 6 2 2" xfId="1370"/>
    <cellStyle name="Финансовый 2 2 2 6 2 2 2" xfId="2328"/>
    <cellStyle name="Финансовый 2 2 2 6 2 2 2 2" xfId="3973"/>
    <cellStyle name="Финансовый 2 2 2 6 2 2 2 3" xfId="5756"/>
    <cellStyle name="Финансовый 2 2 2 6 2 2 3" xfId="3154"/>
    <cellStyle name="Финансовый 2 2 2 6 2 2 4" xfId="4798"/>
    <cellStyle name="Финансовый 2 2 2 6 2 3" xfId="2072"/>
    <cellStyle name="Финансовый 2 2 2 6 2 3 2" xfId="3717"/>
    <cellStyle name="Финансовый 2 2 2 6 2 3 3" xfId="5500"/>
    <cellStyle name="Финансовый 2 2 2 6 2 4" xfId="2601"/>
    <cellStyle name="Финансовый 2 2 2 6 2 4 2" xfId="4246"/>
    <cellStyle name="Финансовый 2 2 2 6 2 4 3" xfId="6029"/>
    <cellStyle name="Финансовый 2 2 2 6 2 5" xfId="1105"/>
    <cellStyle name="Финансовый 2 2 2 6 2 6" xfId="693"/>
    <cellStyle name="Финансовый 2 2 2 6 2 7" xfId="2882"/>
    <cellStyle name="Финансовый 2 2 2 6 2 8" xfId="4526"/>
    <cellStyle name="Финансовый 2 2 2 6 3" xfId="421"/>
    <cellStyle name="Финансовый 2 2 2 6 3 2" xfId="2200"/>
    <cellStyle name="Финансовый 2 2 2 6 3 2 2" xfId="3845"/>
    <cellStyle name="Финансовый 2 2 2 6 3 2 3" xfId="5628"/>
    <cellStyle name="Финансовый 2 2 2 6 3 3" xfId="1234"/>
    <cellStyle name="Финансовый 2 2 2 6 3 4" xfId="841"/>
    <cellStyle name="Финансовый 2 2 2 6 3 5" xfId="3018"/>
    <cellStyle name="Финансовый 2 2 2 6 3 6" xfId="4662"/>
    <cellStyle name="Финансовый 2 2 2 6 4" xfId="1464"/>
    <cellStyle name="Финансовый 2 2 2 6 4 2" xfId="1944"/>
    <cellStyle name="Финансовый 2 2 2 6 4 2 2" xfId="3589"/>
    <cellStyle name="Финансовый 2 2 2 6 4 2 3" xfId="5372"/>
    <cellStyle name="Финансовый 2 2 2 6 4 3" xfId="4892"/>
    <cellStyle name="Финансовый 2 2 2 6 5" xfId="1820"/>
    <cellStyle name="Финансовый 2 2 2 6 5 2" xfId="3465"/>
    <cellStyle name="Финансовый 2 2 2 6 5 3" xfId="5248"/>
    <cellStyle name="Финансовый 2 2 2 6 6" xfId="2465"/>
    <cellStyle name="Финансовый 2 2 2 6 6 2" xfId="4110"/>
    <cellStyle name="Финансовый 2 2 2 6 6 3" xfId="5893"/>
    <cellStyle name="Финансовый 2 2 2 6 7" xfId="1692"/>
    <cellStyle name="Финансовый 2 2 2 6 7 2" xfId="3337"/>
    <cellStyle name="Финансовый 2 2 2 6 7 3" xfId="5120"/>
    <cellStyle name="Финансовый 2 2 2 6 8" xfId="969"/>
    <cellStyle name="Финансовый 2 2 2 6 9" xfId="557"/>
    <cellStyle name="Финансовый 2 2 2 7" xfId="34"/>
    <cellStyle name="Финансовый 2 2 2 7 10" xfId="2646"/>
    <cellStyle name="Финансовый 2 2 2 7 11" xfId="4289"/>
    <cellStyle name="Финансовый 2 2 2 7 2" xfId="172"/>
    <cellStyle name="Финансовый 2 2 2 7 2 2" xfId="1270"/>
    <cellStyle name="Финансовый 2 2 2 7 2 2 2" xfId="2236"/>
    <cellStyle name="Финансовый 2 2 2 7 2 2 2 2" xfId="3881"/>
    <cellStyle name="Финансовый 2 2 2 7 2 2 2 3" xfId="5664"/>
    <cellStyle name="Финансовый 2 2 2 7 2 2 3" xfId="3054"/>
    <cellStyle name="Финансовый 2 2 2 7 2 2 4" xfId="4698"/>
    <cellStyle name="Финансовый 2 2 2 7 2 3" xfId="1980"/>
    <cellStyle name="Финансовый 2 2 2 7 2 3 2" xfId="3625"/>
    <cellStyle name="Финансовый 2 2 2 7 2 3 3" xfId="5408"/>
    <cellStyle name="Финансовый 2 2 2 7 2 4" xfId="2501"/>
    <cellStyle name="Финансовый 2 2 2 7 2 4 2" xfId="4146"/>
    <cellStyle name="Финансовый 2 2 2 7 2 4 3" xfId="5929"/>
    <cellStyle name="Финансовый 2 2 2 7 2 5" xfId="1005"/>
    <cellStyle name="Финансовый 2 2 2 7 2 6" xfId="593"/>
    <cellStyle name="Финансовый 2 2 2 7 2 7" xfId="2782"/>
    <cellStyle name="Финансовый 2 2 2 7 2 8" xfId="4426"/>
    <cellStyle name="Финансовый 2 2 2 7 3" xfId="321"/>
    <cellStyle name="Финансовый 2 2 2 7 3 2" xfId="2108"/>
    <cellStyle name="Финансовый 2 2 2 7 3 2 2" xfId="3753"/>
    <cellStyle name="Финансовый 2 2 2 7 3 2 3" xfId="5536"/>
    <cellStyle name="Финансовый 2 2 2 7 3 3" xfId="1141"/>
    <cellStyle name="Финансовый 2 2 2 7 3 4" xfId="741"/>
    <cellStyle name="Финансовый 2 2 2 7 3 5" xfId="2918"/>
    <cellStyle name="Финансовый 2 2 2 7 3 6" xfId="4562"/>
    <cellStyle name="Финансовый 2 2 2 7 4" xfId="1465"/>
    <cellStyle name="Финансовый 2 2 2 7 4 2" xfId="1844"/>
    <cellStyle name="Финансовый 2 2 2 7 4 2 2" xfId="3489"/>
    <cellStyle name="Финансовый 2 2 2 7 4 2 3" xfId="5272"/>
    <cellStyle name="Финансовый 2 2 2 7 4 3" xfId="4893"/>
    <cellStyle name="Финансовый 2 2 2 7 5" xfId="1728"/>
    <cellStyle name="Финансовый 2 2 2 7 5 2" xfId="3373"/>
    <cellStyle name="Финансовый 2 2 2 7 5 3" xfId="5156"/>
    <cellStyle name="Финансовый 2 2 2 7 6" xfId="2364"/>
    <cellStyle name="Финансовый 2 2 2 7 6 2" xfId="4009"/>
    <cellStyle name="Финансовый 2 2 2 7 6 3" xfId="5792"/>
    <cellStyle name="Финансовый 2 2 2 7 7" xfId="1591"/>
    <cellStyle name="Финансовый 2 2 2 7 7 2" xfId="3236"/>
    <cellStyle name="Финансовый 2 2 2 7 7 3" xfId="5019"/>
    <cellStyle name="Финансовый 2 2 2 7 8" xfId="877"/>
    <cellStyle name="Финансовый 2 2 2 7 9" xfId="457"/>
    <cellStyle name="Финансовый 2 2 2 8" xfId="22"/>
    <cellStyle name="Финансовый 2 2 2 8 10" xfId="2634"/>
    <cellStyle name="Финансовый 2 2 2 8 11" xfId="4277"/>
    <cellStyle name="Финансовый 2 2 2 8 2" xfId="160"/>
    <cellStyle name="Финансовый 2 2 2 8 2 2" xfId="1258"/>
    <cellStyle name="Финансовый 2 2 2 8 2 2 2" xfId="2224"/>
    <cellStyle name="Финансовый 2 2 2 8 2 2 2 2" xfId="3869"/>
    <cellStyle name="Финансовый 2 2 2 8 2 2 2 3" xfId="5652"/>
    <cellStyle name="Финансовый 2 2 2 8 2 2 3" xfId="3042"/>
    <cellStyle name="Финансовый 2 2 2 8 2 2 4" xfId="4686"/>
    <cellStyle name="Финансовый 2 2 2 8 2 3" xfId="1968"/>
    <cellStyle name="Финансовый 2 2 2 8 2 3 2" xfId="3613"/>
    <cellStyle name="Финансовый 2 2 2 8 2 3 3" xfId="5396"/>
    <cellStyle name="Финансовый 2 2 2 8 2 4" xfId="2489"/>
    <cellStyle name="Финансовый 2 2 2 8 2 4 2" xfId="4134"/>
    <cellStyle name="Финансовый 2 2 2 8 2 4 3" xfId="5917"/>
    <cellStyle name="Финансовый 2 2 2 8 2 5" xfId="993"/>
    <cellStyle name="Финансовый 2 2 2 8 2 6" xfId="581"/>
    <cellStyle name="Финансовый 2 2 2 8 2 7" xfId="2770"/>
    <cellStyle name="Финансовый 2 2 2 8 2 8" xfId="4414"/>
    <cellStyle name="Финансовый 2 2 2 8 3" xfId="309"/>
    <cellStyle name="Финансовый 2 2 2 8 3 2" xfId="2096"/>
    <cellStyle name="Финансовый 2 2 2 8 3 2 2" xfId="3741"/>
    <cellStyle name="Финансовый 2 2 2 8 3 2 3" xfId="5524"/>
    <cellStyle name="Финансовый 2 2 2 8 3 3" xfId="1129"/>
    <cellStyle name="Финансовый 2 2 2 8 3 4" xfId="729"/>
    <cellStyle name="Финансовый 2 2 2 8 3 5" xfId="2906"/>
    <cellStyle name="Финансовый 2 2 2 8 3 6" xfId="4550"/>
    <cellStyle name="Финансовый 2 2 2 8 4" xfId="1466"/>
    <cellStyle name="Финансовый 2 2 2 8 4 2" xfId="1832"/>
    <cellStyle name="Финансовый 2 2 2 8 4 2 2" xfId="3477"/>
    <cellStyle name="Финансовый 2 2 2 8 4 2 3" xfId="5260"/>
    <cellStyle name="Финансовый 2 2 2 8 4 3" xfId="4894"/>
    <cellStyle name="Финансовый 2 2 2 8 5" xfId="1716"/>
    <cellStyle name="Финансовый 2 2 2 8 5 2" xfId="3361"/>
    <cellStyle name="Финансовый 2 2 2 8 5 3" xfId="5144"/>
    <cellStyle name="Финансовый 2 2 2 8 6" xfId="2352"/>
    <cellStyle name="Финансовый 2 2 2 8 6 2" xfId="3997"/>
    <cellStyle name="Финансовый 2 2 2 8 6 3" xfId="5780"/>
    <cellStyle name="Финансовый 2 2 2 8 7" xfId="1579"/>
    <cellStyle name="Финансовый 2 2 2 8 7 2" xfId="3224"/>
    <cellStyle name="Финансовый 2 2 2 8 7 3" xfId="5007"/>
    <cellStyle name="Финансовый 2 2 2 8 8" xfId="865"/>
    <cellStyle name="Финансовый 2 2 2 8 9" xfId="445"/>
    <cellStyle name="Финансовый 2 2 2 9" xfId="148"/>
    <cellStyle name="Финансовый 2 2 2 9 2" xfId="1246"/>
    <cellStyle name="Финансовый 2 2 2 9 2 2" xfId="2212"/>
    <cellStyle name="Финансовый 2 2 2 9 2 2 2" xfId="3857"/>
    <cellStyle name="Финансовый 2 2 2 9 2 2 3" xfId="5640"/>
    <cellStyle name="Финансовый 2 2 2 9 2 3" xfId="3030"/>
    <cellStyle name="Финансовый 2 2 2 9 2 4" xfId="4674"/>
    <cellStyle name="Финансовый 2 2 2 9 3" xfId="1956"/>
    <cellStyle name="Финансовый 2 2 2 9 3 2" xfId="3601"/>
    <cellStyle name="Финансовый 2 2 2 9 3 3" xfId="5384"/>
    <cellStyle name="Финансовый 2 2 2 9 4" xfId="2477"/>
    <cellStyle name="Финансовый 2 2 2 9 4 2" xfId="4122"/>
    <cellStyle name="Финансовый 2 2 2 9 4 3" xfId="5905"/>
    <cellStyle name="Финансовый 2 2 2 9 5" xfId="981"/>
    <cellStyle name="Финансовый 2 2 2 9 6" xfId="569"/>
    <cellStyle name="Финансовый 2 2 2 9 7" xfId="2758"/>
    <cellStyle name="Финансовый 2 2 2 9 8" xfId="4402"/>
    <cellStyle name="Финансовый 2 2 20" xfId="2616"/>
    <cellStyle name="Финансовый 2 2 21" xfId="4259"/>
    <cellStyle name="Финансовый 2 2 3" xfId="40"/>
    <cellStyle name="Финансовый 2 2 3 10" xfId="883"/>
    <cellStyle name="Финансовый 2 2 3 11" xfId="463"/>
    <cellStyle name="Финансовый 2 2 3 12" xfId="2652"/>
    <cellStyle name="Финансовый 2 2 3 13" xfId="4295"/>
    <cellStyle name="Финансовый 2 2 3 2" xfId="122"/>
    <cellStyle name="Финансовый 2 2 3 2 10" xfId="2732"/>
    <cellStyle name="Финансовый 2 2 3 2 11" xfId="4376"/>
    <cellStyle name="Финансовый 2 2 3 2 2" xfId="258"/>
    <cellStyle name="Финансовый 2 2 3 2 2 2" xfId="1356"/>
    <cellStyle name="Финансовый 2 2 3 2 2 2 2" xfId="2314"/>
    <cellStyle name="Финансовый 2 2 3 2 2 2 2 2" xfId="3959"/>
    <cellStyle name="Финансовый 2 2 3 2 2 2 2 3" xfId="5742"/>
    <cellStyle name="Финансовый 2 2 3 2 2 2 3" xfId="3140"/>
    <cellStyle name="Финансовый 2 2 3 2 2 2 4" xfId="4784"/>
    <cellStyle name="Финансовый 2 2 3 2 2 3" xfId="2058"/>
    <cellStyle name="Финансовый 2 2 3 2 2 3 2" xfId="3703"/>
    <cellStyle name="Финансовый 2 2 3 2 2 3 3" xfId="5486"/>
    <cellStyle name="Финансовый 2 2 3 2 2 4" xfId="2587"/>
    <cellStyle name="Финансовый 2 2 3 2 2 4 2" xfId="4232"/>
    <cellStyle name="Финансовый 2 2 3 2 2 4 3" xfId="6015"/>
    <cellStyle name="Финансовый 2 2 3 2 2 5" xfId="1091"/>
    <cellStyle name="Финансовый 2 2 3 2 2 6" xfId="679"/>
    <cellStyle name="Финансовый 2 2 3 2 2 7" xfId="2868"/>
    <cellStyle name="Финансовый 2 2 3 2 2 8" xfId="4512"/>
    <cellStyle name="Финансовый 2 2 3 2 3" xfId="407"/>
    <cellStyle name="Финансовый 2 2 3 2 3 2" xfId="2186"/>
    <cellStyle name="Финансовый 2 2 3 2 3 2 2" xfId="3831"/>
    <cellStyle name="Финансовый 2 2 3 2 3 2 3" xfId="5614"/>
    <cellStyle name="Финансовый 2 2 3 2 3 3" xfId="1220"/>
    <cellStyle name="Финансовый 2 2 3 2 3 4" xfId="827"/>
    <cellStyle name="Финансовый 2 2 3 2 3 5" xfId="3004"/>
    <cellStyle name="Финансовый 2 2 3 2 3 6" xfId="4648"/>
    <cellStyle name="Финансовый 2 2 3 2 4" xfId="1469"/>
    <cellStyle name="Финансовый 2 2 3 2 4 2" xfId="1930"/>
    <cellStyle name="Финансовый 2 2 3 2 4 2 2" xfId="3575"/>
    <cellStyle name="Финансовый 2 2 3 2 4 2 3" xfId="5358"/>
    <cellStyle name="Финансовый 2 2 3 2 4 3" xfId="4897"/>
    <cellStyle name="Финансовый 2 2 3 2 5" xfId="1806"/>
    <cellStyle name="Финансовый 2 2 3 2 5 2" xfId="3451"/>
    <cellStyle name="Финансовый 2 2 3 2 5 3" xfId="5234"/>
    <cellStyle name="Финансовый 2 2 3 2 6" xfId="2451"/>
    <cellStyle name="Финансовый 2 2 3 2 6 2" xfId="4096"/>
    <cellStyle name="Финансовый 2 2 3 2 6 3" xfId="5879"/>
    <cellStyle name="Финансовый 2 2 3 2 7" xfId="1678"/>
    <cellStyle name="Финансовый 2 2 3 2 7 2" xfId="3323"/>
    <cellStyle name="Финансовый 2 2 3 2 7 3" xfId="5106"/>
    <cellStyle name="Финансовый 2 2 3 2 8" xfId="955"/>
    <cellStyle name="Финансовый 2 2 3 2 9" xfId="543"/>
    <cellStyle name="Финансовый 2 2 3 3" xfId="86"/>
    <cellStyle name="Финансовый 2 2 3 3 10" xfId="2696"/>
    <cellStyle name="Финансовый 2 2 3 3 11" xfId="4340"/>
    <cellStyle name="Финансовый 2 2 3 3 2" xfId="222"/>
    <cellStyle name="Финансовый 2 2 3 3 2 2" xfId="1320"/>
    <cellStyle name="Финансовый 2 2 3 3 2 2 2" xfId="2278"/>
    <cellStyle name="Финансовый 2 2 3 3 2 2 2 2" xfId="3923"/>
    <cellStyle name="Финансовый 2 2 3 3 2 2 2 3" xfId="5706"/>
    <cellStyle name="Финансовый 2 2 3 3 2 2 3" xfId="3104"/>
    <cellStyle name="Финансовый 2 2 3 3 2 2 4" xfId="4748"/>
    <cellStyle name="Финансовый 2 2 3 3 2 3" xfId="2022"/>
    <cellStyle name="Финансовый 2 2 3 3 2 3 2" xfId="3667"/>
    <cellStyle name="Финансовый 2 2 3 3 2 3 3" xfId="5450"/>
    <cellStyle name="Финансовый 2 2 3 3 2 4" xfId="2551"/>
    <cellStyle name="Финансовый 2 2 3 3 2 4 2" xfId="4196"/>
    <cellStyle name="Финансовый 2 2 3 3 2 4 3" xfId="5979"/>
    <cellStyle name="Финансовый 2 2 3 3 2 5" xfId="1055"/>
    <cellStyle name="Финансовый 2 2 3 3 2 6" xfId="643"/>
    <cellStyle name="Финансовый 2 2 3 3 2 7" xfId="2832"/>
    <cellStyle name="Финансовый 2 2 3 3 2 8" xfId="4476"/>
    <cellStyle name="Финансовый 2 2 3 3 3" xfId="371"/>
    <cellStyle name="Финансовый 2 2 3 3 3 2" xfId="2150"/>
    <cellStyle name="Финансовый 2 2 3 3 3 2 2" xfId="3795"/>
    <cellStyle name="Финансовый 2 2 3 3 3 2 3" xfId="5578"/>
    <cellStyle name="Финансовый 2 2 3 3 3 3" xfId="1184"/>
    <cellStyle name="Финансовый 2 2 3 3 3 4" xfId="791"/>
    <cellStyle name="Финансовый 2 2 3 3 3 5" xfId="2968"/>
    <cellStyle name="Финансовый 2 2 3 3 3 6" xfId="4612"/>
    <cellStyle name="Финансовый 2 2 3 3 4" xfId="1470"/>
    <cellStyle name="Финансовый 2 2 3 3 4 2" xfId="1894"/>
    <cellStyle name="Финансовый 2 2 3 3 4 2 2" xfId="3539"/>
    <cellStyle name="Финансовый 2 2 3 3 4 2 3" xfId="5322"/>
    <cellStyle name="Финансовый 2 2 3 3 4 3" xfId="4898"/>
    <cellStyle name="Финансовый 2 2 3 3 5" xfId="1770"/>
    <cellStyle name="Финансовый 2 2 3 3 5 2" xfId="3415"/>
    <cellStyle name="Финансовый 2 2 3 3 5 3" xfId="5198"/>
    <cellStyle name="Финансовый 2 2 3 3 6" xfId="2415"/>
    <cellStyle name="Финансовый 2 2 3 3 6 2" xfId="4060"/>
    <cellStyle name="Финансовый 2 2 3 3 6 3" xfId="5843"/>
    <cellStyle name="Финансовый 2 2 3 3 7" xfId="1642"/>
    <cellStyle name="Финансовый 2 2 3 3 7 2" xfId="3287"/>
    <cellStyle name="Финансовый 2 2 3 3 7 3" xfId="5070"/>
    <cellStyle name="Финансовый 2 2 3 3 8" xfId="919"/>
    <cellStyle name="Финансовый 2 2 3 3 9" xfId="507"/>
    <cellStyle name="Финансовый 2 2 3 4" xfId="178"/>
    <cellStyle name="Финансовый 2 2 3 4 2" xfId="1276"/>
    <cellStyle name="Финансовый 2 2 3 4 2 2" xfId="2242"/>
    <cellStyle name="Финансовый 2 2 3 4 2 2 2" xfId="3887"/>
    <cellStyle name="Финансовый 2 2 3 4 2 2 3" xfId="5670"/>
    <cellStyle name="Финансовый 2 2 3 4 2 3" xfId="3060"/>
    <cellStyle name="Финансовый 2 2 3 4 2 4" xfId="4704"/>
    <cellStyle name="Финансовый 2 2 3 4 3" xfId="1986"/>
    <cellStyle name="Финансовый 2 2 3 4 3 2" xfId="3631"/>
    <cellStyle name="Финансовый 2 2 3 4 3 3" xfId="5414"/>
    <cellStyle name="Финансовый 2 2 3 4 4" xfId="2507"/>
    <cellStyle name="Финансовый 2 2 3 4 4 2" xfId="4152"/>
    <cellStyle name="Финансовый 2 2 3 4 4 3" xfId="5935"/>
    <cellStyle name="Финансовый 2 2 3 4 5" xfId="1011"/>
    <cellStyle name="Финансовый 2 2 3 4 6" xfId="599"/>
    <cellStyle name="Финансовый 2 2 3 4 7" xfId="2788"/>
    <cellStyle name="Финансовый 2 2 3 4 8" xfId="4432"/>
    <cellStyle name="Финансовый 2 2 3 5" xfId="327"/>
    <cellStyle name="Финансовый 2 2 3 5 2" xfId="2114"/>
    <cellStyle name="Финансовый 2 2 3 5 2 2" xfId="3759"/>
    <cellStyle name="Финансовый 2 2 3 5 2 3" xfId="5542"/>
    <cellStyle name="Финансовый 2 2 3 5 3" xfId="1147"/>
    <cellStyle name="Финансовый 2 2 3 5 4" xfId="747"/>
    <cellStyle name="Финансовый 2 2 3 5 5" xfId="2924"/>
    <cellStyle name="Финансовый 2 2 3 5 6" xfId="4568"/>
    <cellStyle name="Финансовый 2 2 3 6" xfId="1468"/>
    <cellStyle name="Финансовый 2 2 3 6 2" xfId="1850"/>
    <cellStyle name="Финансовый 2 2 3 6 2 2" xfId="3495"/>
    <cellStyle name="Финансовый 2 2 3 6 2 3" xfId="5278"/>
    <cellStyle name="Финансовый 2 2 3 6 3" xfId="4896"/>
    <cellStyle name="Финансовый 2 2 3 7" xfId="1734"/>
    <cellStyle name="Финансовый 2 2 3 7 2" xfId="3379"/>
    <cellStyle name="Финансовый 2 2 3 7 3" xfId="5162"/>
    <cellStyle name="Финансовый 2 2 3 8" xfId="2370"/>
    <cellStyle name="Финансовый 2 2 3 8 2" xfId="4015"/>
    <cellStyle name="Финансовый 2 2 3 8 3" xfId="5798"/>
    <cellStyle name="Финансовый 2 2 3 9" xfId="1597"/>
    <cellStyle name="Финансовый 2 2 3 9 2" xfId="3242"/>
    <cellStyle name="Финансовый 2 2 3 9 3" xfId="5025"/>
    <cellStyle name="Финансовый 2 2 4" xfId="92"/>
    <cellStyle name="Финансовый 2 2 4 10" xfId="2702"/>
    <cellStyle name="Финансовый 2 2 4 11" xfId="4346"/>
    <cellStyle name="Финансовый 2 2 4 2" xfId="228"/>
    <cellStyle name="Финансовый 2 2 4 2 2" xfId="1326"/>
    <cellStyle name="Финансовый 2 2 4 2 2 2" xfId="2284"/>
    <cellStyle name="Финансовый 2 2 4 2 2 2 2" xfId="3929"/>
    <cellStyle name="Финансовый 2 2 4 2 2 2 3" xfId="5712"/>
    <cellStyle name="Финансовый 2 2 4 2 2 3" xfId="3110"/>
    <cellStyle name="Финансовый 2 2 4 2 2 4" xfId="4754"/>
    <cellStyle name="Финансовый 2 2 4 2 3" xfId="2028"/>
    <cellStyle name="Финансовый 2 2 4 2 3 2" xfId="3673"/>
    <cellStyle name="Финансовый 2 2 4 2 3 3" xfId="5456"/>
    <cellStyle name="Финансовый 2 2 4 2 4" xfId="2557"/>
    <cellStyle name="Финансовый 2 2 4 2 4 2" xfId="4202"/>
    <cellStyle name="Финансовый 2 2 4 2 4 3" xfId="5985"/>
    <cellStyle name="Финансовый 2 2 4 2 5" xfId="1061"/>
    <cellStyle name="Финансовый 2 2 4 2 6" xfId="649"/>
    <cellStyle name="Финансовый 2 2 4 2 7" xfId="2838"/>
    <cellStyle name="Финансовый 2 2 4 2 8" xfId="4482"/>
    <cellStyle name="Финансовый 2 2 4 3" xfId="377"/>
    <cellStyle name="Финансовый 2 2 4 3 2" xfId="2156"/>
    <cellStyle name="Финансовый 2 2 4 3 2 2" xfId="3801"/>
    <cellStyle name="Финансовый 2 2 4 3 2 3" xfId="5584"/>
    <cellStyle name="Финансовый 2 2 4 3 3" xfId="1190"/>
    <cellStyle name="Финансовый 2 2 4 3 4" xfId="797"/>
    <cellStyle name="Финансовый 2 2 4 3 5" xfId="2974"/>
    <cellStyle name="Финансовый 2 2 4 3 6" xfId="4618"/>
    <cellStyle name="Финансовый 2 2 4 4" xfId="1471"/>
    <cellStyle name="Финансовый 2 2 4 4 2" xfId="1900"/>
    <cellStyle name="Финансовый 2 2 4 4 2 2" xfId="3545"/>
    <cellStyle name="Финансовый 2 2 4 4 2 3" xfId="5328"/>
    <cellStyle name="Финансовый 2 2 4 4 3" xfId="4899"/>
    <cellStyle name="Финансовый 2 2 4 5" xfId="1776"/>
    <cellStyle name="Финансовый 2 2 4 5 2" xfId="3421"/>
    <cellStyle name="Финансовый 2 2 4 5 3" xfId="5204"/>
    <cellStyle name="Финансовый 2 2 4 6" xfId="2421"/>
    <cellStyle name="Финансовый 2 2 4 6 2" xfId="4066"/>
    <cellStyle name="Финансовый 2 2 4 6 3" xfId="5849"/>
    <cellStyle name="Финансовый 2 2 4 7" xfId="1648"/>
    <cellStyle name="Финансовый 2 2 4 7 2" xfId="3293"/>
    <cellStyle name="Финансовый 2 2 4 7 3" xfId="5076"/>
    <cellStyle name="Финансовый 2 2 4 8" xfId="925"/>
    <cellStyle name="Финансовый 2 2 4 9" xfId="513"/>
    <cellStyle name="Финансовый 2 2 5" xfId="98"/>
    <cellStyle name="Финансовый 2 2 5 10" xfId="2708"/>
    <cellStyle name="Финансовый 2 2 5 11" xfId="4352"/>
    <cellStyle name="Финансовый 2 2 5 2" xfId="234"/>
    <cellStyle name="Финансовый 2 2 5 2 2" xfId="1332"/>
    <cellStyle name="Финансовый 2 2 5 2 2 2" xfId="2290"/>
    <cellStyle name="Финансовый 2 2 5 2 2 2 2" xfId="3935"/>
    <cellStyle name="Финансовый 2 2 5 2 2 2 3" xfId="5718"/>
    <cellStyle name="Финансовый 2 2 5 2 2 3" xfId="3116"/>
    <cellStyle name="Финансовый 2 2 5 2 2 4" xfId="4760"/>
    <cellStyle name="Финансовый 2 2 5 2 3" xfId="2034"/>
    <cellStyle name="Финансовый 2 2 5 2 3 2" xfId="3679"/>
    <cellStyle name="Финансовый 2 2 5 2 3 3" xfId="5462"/>
    <cellStyle name="Финансовый 2 2 5 2 4" xfId="2563"/>
    <cellStyle name="Финансовый 2 2 5 2 4 2" xfId="4208"/>
    <cellStyle name="Финансовый 2 2 5 2 4 3" xfId="5991"/>
    <cellStyle name="Финансовый 2 2 5 2 5" xfId="1067"/>
    <cellStyle name="Финансовый 2 2 5 2 6" xfId="655"/>
    <cellStyle name="Финансовый 2 2 5 2 7" xfId="2844"/>
    <cellStyle name="Финансовый 2 2 5 2 8" xfId="4488"/>
    <cellStyle name="Финансовый 2 2 5 3" xfId="383"/>
    <cellStyle name="Финансовый 2 2 5 3 2" xfId="2162"/>
    <cellStyle name="Финансовый 2 2 5 3 2 2" xfId="3807"/>
    <cellStyle name="Финансовый 2 2 5 3 2 3" xfId="5590"/>
    <cellStyle name="Финансовый 2 2 5 3 3" xfId="1196"/>
    <cellStyle name="Финансовый 2 2 5 3 4" xfId="803"/>
    <cellStyle name="Финансовый 2 2 5 3 5" xfId="2980"/>
    <cellStyle name="Финансовый 2 2 5 3 6" xfId="4624"/>
    <cellStyle name="Финансовый 2 2 5 4" xfId="1472"/>
    <cellStyle name="Финансовый 2 2 5 4 2" xfId="1906"/>
    <cellStyle name="Финансовый 2 2 5 4 2 2" xfId="3551"/>
    <cellStyle name="Финансовый 2 2 5 4 2 3" xfId="5334"/>
    <cellStyle name="Финансовый 2 2 5 4 3" xfId="4900"/>
    <cellStyle name="Финансовый 2 2 5 5" xfId="1782"/>
    <cellStyle name="Финансовый 2 2 5 5 2" xfId="3427"/>
    <cellStyle name="Финансовый 2 2 5 5 3" xfId="5210"/>
    <cellStyle name="Финансовый 2 2 5 6" xfId="2427"/>
    <cellStyle name="Финансовый 2 2 5 6 2" xfId="4072"/>
    <cellStyle name="Финансовый 2 2 5 6 3" xfId="5855"/>
    <cellStyle name="Финансовый 2 2 5 7" xfId="1654"/>
    <cellStyle name="Финансовый 2 2 5 7 2" xfId="3299"/>
    <cellStyle name="Финансовый 2 2 5 7 3" xfId="5082"/>
    <cellStyle name="Финансовый 2 2 5 8" xfId="931"/>
    <cellStyle name="Финансовый 2 2 5 9" xfId="519"/>
    <cellStyle name="Финансовый 2 2 6" xfId="110"/>
    <cellStyle name="Финансовый 2 2 6 10" xfId="2720"/>
    <cellStyle name="Финансовый 2 2 6 11" xfId="4364"/>
    <cellStyle name="Финансовый 2 2 6 2" xfId="246"/>
    <cellStyle name="Финансовый 2 2 6 2 2" xfId="1344"/>
    <cellStyle name="Финансовый 2 2 6 2 2 2" xfId="2302"/>
    <cellStyle name="Финансовый 2 2 6 2 2 2 2" xfId="3947"/>
    <cellStyle name="Финансовый 2 2 6 2 2 2 3" xfId="5730"/>
    <cellStyle name="Финансовый 2 2 6 2 2 3" xfId="3128"/>
    <cellStyle name="Финансовый 2 2 6 2 2 4" xfId="4772"/>
    <cellStyle name="Финансовый 2 2 6 2 3" xfId="2046"/>
    <cellStyle name="Финансовый 2 2 6 2 3 2" xfId="3691"/>
    <cellStyle name="Финансовый 2 2 6 2 3 3" xfId="5474"/>
    <cellStyle name="Финансовый 2 2 6 2 4" xfId="2575"/>
    <cellStyle name="Финансовый 2 2 6 2 4 2" xfId="4220"/>
    <cellStyle name="Финансовый 2 2 6 2 4 3" xfId="6003"/>
    <cellStyle name="Финансовый 2 2 6 2 5" xfId="1079"/>
    <cellStyle name="Финансовый 2 2 6 2 6" xfId="667"/>
    <cellStyle name="Финансовый 2 2 6 2 7" xfId="2856"/>
    <cellStyle name="Финансовый 2 2 6 2 8" xfId="4500"/>
    <cellStyle name="Финансовый 2 2 6 3" xfId="395"/>
    <cellStyle name="Финансовый 2 2 6 3 2" xfId="2174"/>
    <cellStyle name="Финансовый 2 2 6 3 2 2" xfId="3819"/>
    <cellStyle name="Финансовый 2 2 6 3 2 3" xfId="5602"/>
    <cellStyle name="Финансовый 2 2 6 3 3" xfId="1208"/>
    <cellStyle name="Финансовый 2 2 6 3 4" xfId="815"/>
    <cellStyle name="Финансовый 2 2 6 3 5" xfId="2992"/>
    <cellStyle name="Финансовый 2 2 6 3 6" xfId="4636"/>
    <cellStyle name="Финансовый 2 2 6 4" xfId="1459"/>
    <cellStyle name="Финансовый 2 2 6 4 2" xfId="1918"/>
    <cellStyle name="Финансовый 2 2 6 4 2 2" xfId="3563"/>
    <cellStyle name="Финансовый 2 2 6 4 2 3" xfId="5346"/>
    <cellStyle name="Финансовый 2 2 6 4 3" xfId="4887"/>
    <cellStyle name="Финансовый 2 2 6 5" xfId="1794"/>
    <cellStyle name="Финансовый 2 2 6 5 2" xfId="3439"/>
    <cellStyle name="Финансовый 2 2 6 5 3" xfId="5222"/>
    <cellStyle name="Финансовый 2 2 6 6" xfId="2439"/>
    <cellStyle name="Финансовый 2 2 6 6 2" xfId="4084"/>
    <cellStyle name="Финансовый 2 2 6 6 3" xfId="5867"/>
    <cellStyle name="Финансовый 2 2 6 7" xfId="1666"/>
    <cellStyle name="Финансовый 2 2 6 7 2" xfId="3311"/>
    <cellStyle name="Финансовый 2 2 6 7 3" xfId="5094"/>
    <cellStyle name="Финансовый 2 2 6 8" xfId="943"/>
    <cellStyle name="Финансовый 2 2 6 9" xfId="531"/>
    <cellStyle name="Финансовый 2 2 7" xfId="65"/>
    <cellStyle name="Финансовый 2 2 7 10" xfId="2675"/>
    <cellStyle name="Финансовый 2 2 7 11" xfId="4319"/>
    <cellStyle name="Финансовый 2 2 7 2" xfId="201"/>
    <cellStyle name="Финансовый 2 2 7 2 2" xfId="1299"/>
    <cellStyle name="Финансовый 2 2 7 2 2 2" xfId="2265"/>
    <cellStyle name="Финансовый 2 2 7 2 2 2 2" xfId="3910"/>
    <cellStyle name="Финансовый 2 2 7 2 2 2 3" xfId="5693"/>
    <cellStyle name="Финансовый 2 2 7 2 2 3" xfId="3083"/>
    <cellStyle name="Финансовый 2 2 7 2 2 4" xfId="4727"/>
    <cellStyle name="Финансовый 2 2 7 2 3" xfId="2009"/>
    <cellStyle name="Финансовый 2 2 7 2 3 2" xfId="3654"/>
    <cellStyle name="Финансовый 2 2 7 2 3 3" xfId="5437"/>
    <cellStyle name="Финансовый 2 2 7 2 4" xfId="2530"/>
    <cellStyle name="Финансовый 2 2 7 2 4 2" xfId="4175"/>
    <cellStyle name="Финансовый 2 2 7 2 4 3" xfId="5958"/>
    <cellStyle name="Финансовый 2 2 7 2 5" xfId="1034"/>
    <cellStyle name="Финансовый 2 2 7 2 6" xfId="622"/>
    <cellStyle name="Финансовый 2 2 7 2 7" xfId="2811"/>
    <cellStyle name="Финансовый 2 2 7 2 8" xfId="4455"/>
    <cellStyle name="Финансовый 2 2 7 3" xfId="350"/>
    <cellStyle name="Финансовый 2 2 7 3 2" xfId="2137"/>
    <cellStyle name="Финансовый 2 2 7 3 2 2" xfId="3782"/>
    <cellStyle name="Финансовый 2 2 7 3 2 3" xfId="5565"/>
    <cellStyle name="Финансовый 2 2 7 3 3" xfId="1170"/>
    <cellStyle name="Финансовый 2 2 7 3 4" xfId="770"/>
    <cellStyle name="Финансовый 2 2 7 3 5" xfId="2947"/>
    <cellStyle name="Финансовый 2 2 7 3 6" xfId="4591"/>
    <cellStyle name="Финансовый 2 2 7 4" xfId="1473"/>
    <cellStyle name="Финансовый 2 2 7 4 2" xfId="1873"/>
    <cellStyle name="Финансовый 2 2 7 4 2 2" xfId="3518"/>
    <cellStyle name="Финансовый 2 2 7 4 2 3" xfId="5301"/>
    <cellStyle name="Финансовый 2 2 7 4 3" xfId="4901"/>
    <cellStyle name="Финансовый 2 2 7 5" xfId="1757"/>
    <cellStyle name="Финансовый 2 2 7 5 2" xfId="3402"/>
    <cellStyle name="Финансовый 2 2 7 5 3" xfId="5185"/>
    <cellStyle name="Финансовый 2 2 7 6" xfId="2394"/>
    <cellStyle name="Финансовый 2 2 7 6 2" xfId="4039"/>
    <cellStyle name="Финансовый 2 2 7 6 3" xfId="5822"/>
    <cellStyle name="Финансовый 2 2 7 7" xfId="1621"/>
    <cellStyle name="Финансовый 2 2 7 7 2" xfId="3266"/>
    <cellStyle name="Финансовый 2 2 7 7 3" xfId="5049"/>
    <cellStyle name="Финансовый 2 2 7 8" xfId="906"/>
    <cellStyle name="Финансовый 2 2 7 9" xfId="486"/>
    <cellStyle name="Финансовый 2 2 8" xfId="52"/>
    <cellStyle name="Финансовый 2 2 8 10" xfId="2664"/>
    <cellStyle name="Финансовый 2 2 8 11" xfId="4307"/>
    <cellStyle name="Финансовый 2 2 8 2" xfId="190"/>
    <cellStyle name="Финансовый 2 2 8 2 2" xfId="1288"/>
    <cellStyle name="Финансовый 2 2 8 2 2 2" xfId="2254"/>
    <cellStyle name="Финансовый 2 2 8 2 2 2 2" xfId="3899"/>
    <cellStyle name="Финансовый 2 2 8 2 2 2 3" xfId="5682"/>
    <cellStyle name="Финансовый 2 2 8 2 2 3" xfId="3072"/>
    <cellStyle name="Финансовый 2 2 8 2 2 4" xfId="4716"/>
    <cellStyle name="Финансовый 2 2 8 2 3" xfId="1998"/>
    <cellStyle name="Финансовый 2 2 8 2 3 2" xfId="3643"/>
    <cellStyle name="Финансовый 2 2 8 2 3 3" xfId="5426"/>
    <cellStyle name="Финансовый 2 2 8 2 4" xfId="2519"/>
    <cellStyle name="Финансовый 2 2 8 2 4 2" xfId="4164"/>
    <cellStyle name="Финансовый 2 2 8 2 4 3" xfId="5947"/>
    <cellStyle name="Финансовый 2 2 8 2 5" xfId="1023"/>
    <cellStyle name="Финансовый 2 2 8 2 6" xfId="611"/>
    <cellStyle name="Финансовый 2 2 8 2 7" xfId="2800"/>
    <cellStyle name="Финансовый 2 2 8 2 8" xfId="4444"/>
    <cellStyle name="Финансовый 2 2 8 3" xfId="339"/>
    <cellStyle name="Финансовый 2 2 8 3 2" xfId="2126"/>
    <cellStyle name="Финансовый 2 2 8 3 2 2" xfId="3771"/>
    <cellStyle name="Финансовый 2 2 8 3 2 3" xfId="5554"/>
    <cellStyle name="Финансовый 2 2 8 3 3" xfId="1159"/>
    <cellStyle name="Финансовый 2 2 8 3 4" xfId="759"/>
    <cellStyle name="Финансовый 2 2 8 3 5" xfId="2936"/>
    <cellStyle name="Финансовый 2 2 8 3 6" xfId="4580"/>
    <cellStyle name="Финансовый 2 2 8 4" xfId="1474"/>
    <cellStyle name="Финансовый 2 2 8 4 2" xfId="1862"/>
    <cellStyle name="Финансовый 2 2 8 4 2 2" xfId="3507"/>
    <cellStyle name="Финансовый 2 2 8 4 2 3" xfId="5290"/>
    <cellStyle name="Финансовый 2 2 8 4 3" xfId="4902"/>
    <cellStyle name="Финансовый 2 2 8 5" xfId="1746"/>
    <cellStyle name="Финансовый 2 2 8 5 2" xfId="3391"/>
    <cellStyle name="Финансовый 2 2 8 5 3" xfId="5174"/>
    <cellStyle name="Финансовый 2 2 8 6" xfId="2382"/>
    <cellStyle name="Финансовый 2 2 8 6 2" xfId="4027"/>
    <cellStyle name="Финансовый 2 2 8 6 3" xfId="5810"/>
    <cellStyle name="Финансовый 2 2 8 7" xfId="1609"/>
    <cellStyle name="Финансовый 2 2 8 7 2" xfId="3254"/>
    <cellStyle name="Финансовый 2 2 8 7 3" xfId="5037"/>
    <cellStyle name="Финансовый 2 2 8 8" xfId="895"/>
    <cellStyle name="Финансовый 2 2 8 9" xfId="475"/>
    <cellStyle name="Финансовый 2 2 9" xfId="130"/>
    <cellStyle name="Финансовый 2 2 9 10" xfId="2740"/>
    <cellStyle name="Финансовый 2 2 9 11" xfId="4384"/>
    <cellStyle name="Финансовый 2 2 9 2" xfId="266"/>
    <cellStyle name="Финансовый 2 2 9 2 2" xfId="1364"/>
    <cellStyle name="Финансовый 2 2 9 2 2 2" xfId="2322"/>
    <cellStyle name="Финансовый 2 2 9 2 2 2 2" xfId="3967"/>
    <cellStyle name="Финансовый 2 2 9 2 2 2 3" xfId="5750"/>
    <cellStyle name="Финансовый 2 2 9 2 2 3" xfId="3148"/>
    <cellStyle name="Финансовый 2 2 9 2 2 4" xfId="4792"/>
    <cellStyle name="Финансовый 2 2 9 2 3" xfId="2066"/>
    <cellStyle name="Финансовый 2 2 9 2 3 2" xfId="3711"/>
    <cellStyle name="Финансовый 2 2 9 2 3 3" xfId="5494"/>
    <cellStyle name="Финансовый 2 2 9 2 4" xfId="2595"/>
    <cellStyle name="Финансовый 2 2 9 2 4 2" xfId="4240"/>
    <cellStyle name="Финансовый 2 2 9 2 4 3" xfId="6023"/>
    <cellStyle name="Финансовый 2 2 9 2 5" xfId="1099"/>
    <cellStyle name="Финансовый 2 2 9 2 6" xfId="687"/>
    <cellStyle name="Финансовый 2 2 9 2 7" xfId="2876"/>
    <cellStyle name="Финансовый 2 2 9 2 8" xfId="4520"/>
    <cellStyle name="Финансовый 2 2 9 3" xfId="415"/>
    <cellStyle name="Финансовый 2 2 9 3 2" xfId="2194"/>
    <cellStyle name="Финансовый 2 2 9 3 2 2" xfId="3839"/>
    <cellStyle name="Финансовый 2 2 9 3 2 3" xfId="5622"/>
    <cellStyle name="Финансовый 2 2 9 3 3" xfId="1228"/>
    <cellStyle name="Финансовый 2 2 9 3 4" xfId="835"/>
    <cellStyle name="Финансовый 2 2 9 3 5" xfId="3012"/>
    <cellStyle name="Финансовый 2 2 9 3 6" xfId="4656"/>
    <cellStyle name="Финансовый 2 2 9 4" xfId="1475"/>
    <cellStyle name="Финансовый 2 2 9 4 2" xfId="1938"/>
    <cellStyle name="Финансовый 2 2 9 4 2 2" xfId="3583"/>
    <cellStyle name="Финансовый 2 2 9 4 2 3" xfId="5366"/>
    <cellStyle name="Финансовый 2 2 9 4 3" xfId="4903"/>
    <cellStyle name="Финансовый 2 2 9 5" xfId="1814"/>
    <cellStyle name="Финансовый 2 2 9 5 2" xfId="3459"/>
    <cellStyle name="Финансовый 2 2 9 5 3" xfId="5242"/>
    <cellStyle name="Финансовый 2 2 9 6" xfId="2459"/>
    <cellStyle name="Финансовый 2 2 9 6 2" xfId="4104"/>
    <cellStyle name="Финансовый 2 2 9 6 3" xfId="5887"/>
    <cellStyle name="Финансовый 2 2 9 7" xfId="1686"/>
    <cellStyle name="Финансовый 2 2 9 7 2" xfId="3331"/>
    <cellStyle name="Финансовый 2 2 9 7 3" xfId="5114"/>
    <cellStyle name="Финансовый 2 2 9 8" xfId="963"/>
    <cellStyle name="Финансовый 2 2 9 9" xfId="551"/>
    <cellStyle name="Финансовый 2 20" xfId="1559"/>
    <cellStyle name="Финансовый 2 20 2" xfId="3204"/>
    <cellStyle name="Финансовый 2 20 3" xfId="4987"/>
    <cellStyle name="Финансовый 2 21" xfId="845"/>
    <cellStyle name="Финансовый 2 22" xfId="425"/>
    <cellStyle name="Финансовый 2 23" xfId="2614"/>
    <cellStyle name="Финансовый 2 24" xfId="4257"/>
    <cellStyle name="Финансовый 2 3" xfId="6"/>
    <cellStyle name="Финансовый 2 3 10" xfId="30"/>
    <cellStyle name="Финансовый 2 3 10 10" xfId="2642"/>
    <cellStyle name="Финансовый 2 3 10 11" xfId="4285"/>
    <cellStyle name="Финансовый 2 3 10 2" xfId="168"/>
    <cellStyle name="Финансовый 2 3 10 2 2" xfId="1266"/>
    <cellStyle name="Финансовый 2 3 10 2 2 2" xfId="2232"/>
    <cellStyle name="Финансовый 2 3 10 2 2 2 2" xfId="3877"/>
    <cellStyle name="Финансовый 2 3 10 2 2 2 3" xfId="5660"/>
    <cellStyle name="Финансовый 2 3 10 2 2 3" xfId="3050"/>
    <cellStyle name="Финансовый 2 3 10 2 2 4" xfId="4694"/>
    <cellStyle name="Финансовый 2 3 10 2 3" xfId="1976"/>
    <cellStyle name="Финансовый 2 3 10 2 3 2" xfId="3621"/>
    <cellStyle name="Финансовый 2 3 10 2 3 3" xfId="5404"/>
    <cellStyle name="Финансовый 2 3 10 2 4" xfId="2497"/>
    <cellStyle name="Финансовый 2 3 10 2 4 2" xfId="4142"/>
    <cellStyle name="Финансовый 2 3 10 2 4 3" xfId="5925"/>
    <cellStyle name="Финансовый 2 3 10 2 5" xfId="1001"/>
    <cellStyle name="Финансовый 2 3 10 2 6" xfId="589"/>
    <cellStyle name="Финансовый 2 3 10 2 7" xfId="2778"/>
    <cellStyle name="Финансовый 2 3 10 2 8" xfId="4422"/>
    <cellStyle name="Финансовый 2 3 10 3" xfId="317"/>
    <cellStyle name="Финансовый 2 3 10 3 2" xfId="2104"/>
    <cellStyle name="Финансовый 2 3 10 3 2 2" xfId="3749"/>
    <cellStyle name="Финансовый 2 3 10 3 2 3" xfId="5532"/>
    <cellStyle name="Финансовый 2 3 10 3 3" xfId="1137"/>
    <cellStyle name="Финансовый 2 3 10 3 4" xfId="737"/>
    <cellStyle name="Финансовый 2 3 10 3 5" xfId="2914"/>
    <cellStyle name="Финансовый 2 3 10 3 6" xfId="4558"/>
    <cellStyle name="Финансовый 2 3 10 4" xfId="1479"/>
    <cellStyle name="Финансовый 2 3 10 4 2" xfId="1840"/>
    <cellStyle name="Финансовый 2 3 10 4 2 2" xfId="3485"/>
    <cellStyle name="Финансовый 2 3 10 4 2 3" xfId="5268"/>
    <cellStyle name="Финансовый 2 3 10 4 3" xfId="4907"/>
    <cellStyle name="Финансовый 2 3 10 5" xfId="1724"/>
    <cellStyle name="Финансовый 2 3 10 5 2" xfId="3369"/>
    <cellStyle name="Финансовый 2 3 10 5 3" xfId="5152"/>
    <cellStyle name="Финансовый 2 3 10 6" xfId="2360"/>
    <cellStyle name="Финансовый 2 3 10 6 2" xfId="4005"/>
    <cellStyle name="Финансовый 2 3 10 6 3" xfId="5788"/>
    <cellStyle name="Финансовый 2 3 10 7" xfId="1587"/>
    <cellStyle name="Финансовый 2 3 10 7 2" xfId="3232"/>
    <cellStyle name="Финансовый 2 3 10 7 3" xfId="5015"/>
    <cellStyle name="Финансовый 2 3 10 8" xfId="873"/>
    <cellStyle name="Финансовый 2 3 10 9" xfId="453"/>
    <cellStyle name="Финансовый 2 3 11" xfId="18"/>
    <cellStyle name="Финансовый 2 3 11 10" xfId="2630"/>
    <cellStyle name="Финансовый 2 3 11 11" xfId="4273"/>
    <cellStyle name="Финансовый 2 3 11 2" xfId="156"/>
    <cellStyle name="Финансовый 2 3 11 2 2" xfId="1254"/>
    <cellStyle name="Финансовый 2 3 11 2 2 2" xfId="2220"/>
    <cellStyle name="Финансовый 2 3 11 2 2 2 2" xfId="3865"/>
    <cellStyle name="Финансовый 2 3 11 2 2 2 3" xfId="5648"/>
    <cellStyle name="Финансовый 2 3 11 2 2 3" xfId="3038"/>
    <cellStyle name="Финансовый 2 3 11 2 2 4" xfId="4682"/>
    <cellStyle name="Финансовый 2 3 11 2 3" xfId="1964"/>
    <cellStyle name="Финансовый 2 3 11 2 3 2" xfId="3609"/>
    <cellStyle name="Финансовый 2 3 11 2 3 3" xfId="5392"/>
    <cellStyle name="Финансовый 2 3 11 2 4" xfId="2485"/>
    <cellStyle name="Финансовый 2 3 11 2 4 2" xfId="4130"/>
    <cellStyle name="Финансовый 2 3 11 2 4 3" xfId="5913"/>
    <cellStyle name="Финансовый 2 3 11 2 5" xfId="989"/>
    <cellStyle name="Финансовый 2 3 11 2 6" xfId="577"/>
    <cellStyle name="Финансовый 2 3 11 2 7" xfId="2766"/>
    <cellStyle name="Финансовый 2 3 11 2 8" xfId="4410"/>
    <cellStyle name="Финансовый 2 3 11 3" xfId="305"/>
    <cellStyle name="Финансовый 2 3 11 3 2" xfId="2092"/>
    <cellStyle name="Финансовый 2 3 11 3 2 2" xfId="3737"/>
    <cellStyle name="Финансовый 2 3 11 3 2 3" xfId="5520"/>
    <cellStyle name="Финансовый 2 3 11 3 3" xfId="1125"/>
    <cellStyle name="Финансовый 2 3 11 3 4" xfId="725"/>
    <cellStyle name="Финансовый 2 3 11 3 5" xfId="2902"/>
    <cellStyle name="Финансовый 2 3 11 3 6" xfId="4546"/>
    <cellStyle name="Финансовый 2 3 11 4" xfId="1447"/>
    <cellStyle name="Финансовый 2 3 11 4 2" xfId="1828"/>
    <cellStyle name="Финансовый 2 3 11 4 2 2" xfId="3473"/>
    <cellStyle name="Финансовый 2 3 11 4 2 3" xfId="5256"/>
    <cellStyle name="Финансовый 2 3 11 4 3" xfId="4875"/>
    <cellStyle name="Финансовый 2 3 11 5" xfId="1712"/>
    <cellStyle name="Финансовый 2 3 11 5 2" xfId="3357"/>
    <cellStyle name="Финансовый 2 3 11 5 3" xfId="5140"/>
    <cellStyle name="Финансовый 2 3 11 6" xfId="2348"/>
    <cellStyle name="Финансовый 2 3 11 6 2" xfId="3993"/>
    <cellStyle name="Финансовый 2 3 11 6 3" xfId="5776"/>
    <cellStyle name="Финансовый 2 3 11 7" xfId="1575"/>
    <cellStyle name="Финансовый 2 3 11 7 2" xfId="3220"/>
    <cellStyle name="Финансовый 2 3 11 7 3" xfId="5003"/>
    <cellStyle name="Финансовый 2 3 11 8" xfId="861"/>
    <cellStyle name="Финансовый 2 3 11 9" xfId="441"/>
    <cellStyle name="Финансовый 2 3 12" xfId="144"/>
    <cellStyle name="Финансовый 2 3 12 2" xfId="1242"/>
    <cellStyle name="Финансовый 2 3 12 2 2" xfId="2208"/>
    <cellStyle name="Финансовый 2 3 12 2 2 2" xfId="3853"/>
    <cellStyle name="Финансовый 2 3 12 2 2 3" xfId="5636"/>
    <cellStyle name="Финансовый 2 3 12 2 3" xfId="3026"/>
    <cellStyle name="Финансовый 2 3 12 2 4" xfId="4670"/>
    <cellStyle name="Финансовый 2 3 12 3" xfId="1952"/>
    <cellStyle name="Финансовый 2 3 12 3 2" xfId="3597"/>
    <cellStyle name="Финансовый 2 3 12 3 3" xfId="5380"/>
    <cellStyle name="Финансовый 2 3 12 4" xfId="2473"/>
    <cellStyle name="Финансовый 2 3 12 4 2" xfId="4118"/>
    <cellStyle name="Финансовый 2 3 12 4 3" xfId="5901"/>
    <cellStyle name="Финансовый 2 3 12 5" xfId="977"/>
    <cellStyle name="Финансовый 2 3 12 6" xfId="565"/>
    <cellStyle name="Финансовый 2 3 12 7" xfId="2754"/>
    <cellStyle name="Финансовый 2 3 12 8" xfId="4398"/>
    <cellStyle name="Финансовый 2 3 13" xfId="280"/>
    <cellStyle name="Финансовый 2 3 13 2" xfId="2080"/>
    <cellStyle name="Финансовый 2 3 13 2 2" xfId="3725"/>
    <cellStyle name="Финансовый 2 3 13 2 3" xfId="5508"/>
    <cellStyle name="Финансовый 2 3 13 3" xfId="1378"/>
    <cellStyle name="Финансовый 2 3 13 4" xfId="701"/>
    <cellStyle name="Финансовый 2 3 13 5" xfId="3162"/>
    <cellStyle name="Финансовый 2 3 13 6" xfId="4806"/>
    <cellStyle name="Финансовый 2 3 14" xfId="293"/>
    <cellStyle name="Финансовый 2 3 14 2" xfId="1113"/>
    <cellStyle name="Финансовый 2 3 14 3" xfId="713"/>
    <cellStyle name="Финансовый 2 3 14 4" xfId="2890"/>
    <cellStyle name="Финансовый 2 3 14 5" xfId="4534"/>
    <cellStyle name="Финансовый 2 3 15" xfId="1477"/>
    <cellStyle name="Финансовый 2 3 15 2" xfId="1700"/>
    <cellStyle name="Финансовый 2 3 15 2 2" xfId="3345"/>
    <cellStyle name="Финансовый 2 3 15 2 3" xfId="5128"/>
    <cellStyle name="Финансовый 2 3 15 3" xfId="4905"/>
    <cellStyle name="Финансовый 2 3 16" xfId="2336"/>
    <cellStyle name="Финансовый 2 3 16 2" xfId="3981"/>
    <cellStyle name="Финансовый 2 3 16 3" xfId="5764"/>
    <cellStyle name="Финансовый 2 3 17" xfId="1563"/>
    <cellStyle name="Финансовый 2 3 17 2" xfId="3208"/>
    <cellStyle name="Финансовый 2 3 17 3" xfId="4991"/>
    <cellStyle name="Финансовый 2 3 18" xfId="849"/>
    <cellStyle name="Финансовый 2 3 19" xfId="429"/>
    <cellStyle name="Финансовый 2 3 2" xfId="12"/>
    <cellStyle name="Финансовый 2 3 2 10" xfId="286"/>
    <cellStyle name="Финансовый 2 3 2 10 2" xfId="2086"/>
    <cellStyle name="Финансовый 2 3 2 10 2 2" xfId="3731"/>
    <cellStyle name="Финансовый 2 3 2 10 2 3" xfId="5514"/>
    <cellStyle name="Финансовый 2 3 2 10 3" xfId="1384"/>
    <cellStyle name="Финансовый 2 3 2 10 4" xfId="707"/>
    <cellStyle name="Финансовый 2 3 2 10 5" xfId="3168"/>
    <cellStyle name="Финансовый 2 3 2 10 6" xfId="4812"/>
    <cellStyle name="Финансовый 2 3 2 11" xfId="299"/>
    <cellStyle name="Финансовый 2 3 2 11 2" xfId="1119"/>
    <cellStyle name="Финансовый 2 3 2 11 3" xfId="719"/>
    <cellStyle name="Финансовый 2 3 2 11 4" xfId="2896"/>
    <cellStyle name="Финансовый 2 3 2 11 5" xfId="4540"/>
    <cellStyle name="Финансовый 2 3 2 12" xfId="1480"/>
    <cellStyle name="Финансовый 2 3 2 12 2" xfId="1706"/>
    <cellStyle name="Финансовый 2 3 2 12 2 2" xfId="3351"/>
    <cellStyle name="Финансовый 2 3 2 12 2 3" xfId="5134"/>
    <cellStyle name="Финансовый 2 3 2 12 3" xfId="4908"/>
    <cellStyle name="Финансовый 2 3 2 13" xfId="2342"/>
    <cellStyle name="Финансовый 2 3 2 13 2" xfId="3987"/>
    <cellStyle name="Финансовый 2 3 2 13 3" xfId="5770"/>
    <cellStyle name="Финансовый 2 3 2 14" xfId="1569"/>
    <cellStyle name="Финансовый 2 3 2 14 2" xfId="3214"/>
    <cellStyle name="Финансовый 2 3 2 14 3" xfId="4997"/>
    <cellStyle name="Финансовый 2 3 2 15" xfId="855"/>
    <cellStyle name="Финансовый 2 3 2 16" xfId="435"/>
    <cellStyle name="Финансовый 2 3 2 17" xfId="2624"/>
    <cellStyle name="Финансовый 2 3 2 18" xfId="4267"/>
    <cellStyle name="Финансовый 2 3 2 2" xfId="48"/>
    <cellStyle name="Финансовый 2 3 2 2 10" xfId="471"/>
    <cellStyle name="Финансовый 2 3 2 2 11" xfId="2660"/>
    <cellStyle name="Финансовый 2 3 2 2 12" xfId="4303"/>
    <cellStyle name="Финансовый 2 3 2 2 2" xfId="106"/>
    <cellStyle name="Финансовый 2 3 2 2 2 10" xfId="2716"/>
    <cellStyle name="Финансовый 2 3 2 2 2 11" xfId="4360"/>
    <cellStyle name="Финансовый 2 3 2 2 2 2" xfId="242"/>
    <cellStyle name="Финансовый 2 3 2 2 2 2 2" xfId="1340"/>
    <cellStyle name="Финансовый 2 3 2 2 2 2 2 2" xfId="2298"/>
    <cellStyle name="Финансовый 2 3 2 2 2 2 2 2 2" xfId="3943"/>
    <cellStyle name="Финансовый 2 3 2 2 2 2 2 2 3" xfId="5726"/>
    <cellStyle name="Финансовый 2 3 2 2 2 2 2 3" xfId="3124"/>
    <cellStyle name="Финансовый 2 3 2 2 2 2 2 4" xfId="4768"/>
    <cellStyle name="Финансовый 2 3 2 2 2 2 3" xfId="2042"/>
    <cellStyle name="Финансовый 2 3 2 2 2 2 3 2" xfId="3687"/>
    <cellStyle name="Финансовый 2 3 2 2 2 2 3 3" xfId="5470"/>
    <cellStyle name="Финансовый 2 3 2 2 2 2 4" xfId="2571"/>
    <cellStyle name="Финансовый 2 3 2 2 2 2 4 2" xfId="4216"/>
    <cellStyle name="Финансовый 2 3 2 2 2 2 4 3" xfId="5999"/>
    <cellStyle name="Финансовый 2 3 2 2 2 2 5" xfId="1075"/>
    <cellStyle name="Финансовый 2 3 2 2 2 2 6" xfId="663"/>
    <cellStyle name="Финансовый 2 3 2 2 2 2 7" xfId="2852"/>
    <cellStyle name="Финансовый 2 3 2 2 2 2 8" xfId="4496"/>
    <cellStyle name="Финансовый 2 3 2 2 2 3" xfId="391"/>
    <cellStyle name="Финансовый 2 3 2 2 2 3 2" xfId="2170"/>
    <cellStyle name="Финансовый 2 3 2 2 2 3 2 2" xfId="3815"/>
    <cellStyle name="Финансовый 2 3 2 2 2 3 2 3" xfId="5598"/>
    <cellStyle name="Финансовый 2 3 2 2 2 3 3" xfId="1204"/>
    <cellStyle name="Финансовый 2 3 2 2 2 3 4" xfId="811"/>
    <cellStyle name="Финансовый 2 3 2 2 2 3 5" xfId="2988"/>
    <cellStyle name="Финансовый 2 3 2 2 2 3 6" xfId="4632"/>
    <cellStyle name="Финансовый 2 3 2 2 2 4" xfId="1482"/>
    <cellStyle name="Финансовый 2 3 2 2 2 4 2" xfId="1914"/>
    <cellStyle name="Финансовый 2 3 2 2 2 4 2 2" xfId="3559"/>
    <cellStyle name="Финансовый 2 3 2 2 2 4 2 3" xfId="5342"/>
    <cellStyle name="Финансовый 2 3 2 2 2 4 3" xfId="4910"/>
    <cellStyle name="Финансовый 2 3 2 2 2 5" xfId="1790"/>
    <cellStyle name="Финансовый 2 3 2 2 2 5 2" xfId="3435"/>
    <cellStyle name="Финансовый 2 3 2 2 2 5 3" xfId="5218"/>
    <cellStyle name="Финансовый 2 3 2 2 2 6" xfId="2435"/>
    <cellStyle name="Финансовый 2 3 2 2 2 6 2" xfId="4080"/>
    <cellStyle name="Финансовый 2 3 2 2 2 6 3" xfId="5863"/>
    <cellStyle name="Финансовый 2 3 2 2 2 7" xfId="1662"/>
    <cellStyle name="Финансовый 2 3 2 2 2 7 2" xfId="3307"/>
    <cellStyle name="Финансовый 2 3 2 2 2 7 3" xfId="5090"/>
    <cellStyle name="Финансовый 2 3 2 2 2 8" xfId="939"/>
    <cellStyle name="Финансовый 2 3 2 2 2 9" xfId="527"/>
    <cellStyle name="Финансовый 2 3 2 2 3" xfId="186"/>
    <cellStyle name="Финансовый 2 3 2 2 3 2" xfId="1284"/>
    <cellStyle name="Финансовый 2 3 2 2 3 2 2" xfId="2250"/>
    <cellStyle name="Финансовый 2 3 2 2 3 2 2 2" xfId="3895"/>
    <cellStyle name="Финансовый 2 3 2 2 3 2 2 3" xfId="5678"/>
    <cellStyle name="Финансовый 2 3 2 2 3 2 3" xfId="3068"/>
    <cellStyle name="Финансовый 2 3 2 2 3 2 4" xfId="4712"/>
    <cellStyle name="Финансовый 2 3 2 2 3 3" xfId="1994"/>
    <cellStyle name="Финансовый 2 3 2 2 3 3 2" xfId="3639"/>
    <cellStyle name="Финансовый 2 3 2 2 3 3 3" xfId="5422"/>
    <cellStyle name="Финансовый 2 3 2 2 3 4" xfId="2515"/>
    <cellStyle name="Финансовый 2 3 2 2 3 4 2" xfId="4160"/>
    <cellStyle name="Финансовый 2 3 2 2 3 4 3" xfId="5943"/>
    <cellStyle name="Финансовый 2 3 2 2 3 5" xfId="1019"/>
    <cellStyle name="Финансовый 2 3 2 2 3 6" xfId="607"/>
    <cellStyle name="Финансовый 2 3 2 2 3 7" xfId="2796"/>
    <cellStyle name="Финансовый 2 3 2 2 3 8" xfId="4440"/>
    <cellStyle name="Финансовый 2 3 2 2 4" xfId="335"/>
    <cellStyle name="Финансовый 2 3 2 2 4 2" xfId="2122"/>
    <cellStyle name="Финансовый 2 3 2 2 4 2 2" xfId="3767"/>
    <cellStyle name="Финансовый 2 3 2 2 4 2 3" xfId="5550"/>
    <cellStyle name="Финансовый 2 3 2 2 4 3" xfId="1155"/>
    <cellStyle name="Финансовый 2 3 2 2 4 4" xfId="755"/>
    <cellStyle name="Финансовый 2 3 2 2 4 5" xfId="2932"/>
    <cellStyle name="Финансовый 2 3 2 2 4 6" xfId="4576"/>
    <cellStyle name="Финансовый 2 3 2 2 5" xfId="1481"/>
    <cellStyle name="Финансовый 2 3 2 2 5 2" xfId="1858"/>
    <cellStyle name="Финансовый 2 3 2 2 5 2 2" xfId="3503"/>
    <cellStyle name="Финансовый 2 3 2 2 5 2 3" xfId="5286"/>
    <cellStyle name="Финансовый 2 3 2 2 5 3" xfId="4909"/>
    <cellStyle name="Финансовый 2 3 2 2 6" xfId="1742"/>
    <cellStyle name="Финансовый 2 3 2 2 6 2" xfId="3387"/>
    <cellStyle name="Финансовый 2 3 2 2 6 3" xfId="5170"/>
    <cellStyle name="Финансовый 2 3 2 2 7" xfId="2378"/>
    <cellStyle name="Финансовый 2 3 2 2 7 2" xfId="4023"/>
    <cellStyle name="Финансовый 2 3 2 2 7 3" xfId="5806"/>
    <cellStyle name="Финансовый 2 3 2 2 8" xfId="1605"/>
    <cellStyle name="Финансовый 2 3 2 2 8 2" xfId="3250"/>
    <cellStyle name="Финансовый 2 3 2 2 8 3" xfId="5033"/>
    <cellStyle name="Финансовый 2 3 2 2 9" xfId="891"/>
    <cellStyle name="Финансовый 2 3 2 3" xfId="118"/>
    <cellStyle name="Финансовый 2 3 2 3 10" xfId="2728"/>
    <cellStyle name="Финансовый 2 3 2 3 11" xfId="4372"/>
    <cellStyle name="Финансовый 2 3 2 3 2" xfId="254"/>
    <cellStyle name="Финансовый 2 3 2 3 2 2" xfId="1352"/>
    <cellStyle name="Финансовый 2 3 2 3 2 2 2" xfId="2310"/>
    <cellStyle name="Финансовый 2 3 2 3 2 2 2 2" xfId="3955"/>
    <cellStyle name="Финансовый 2 3 2 3 2 2 2 3" xfId="5738"/>
    <cellStyle name="Финансовый 2 3 2 3 2 2 3" xfId="3136"/>
    <cellStyle name="Финансовый 2 3 2 3 2 2 4" xfId="4780"/>
    <cellStyle name="Финансовый 2 3 2 3 2 3" xfId="2054"/>
    <cellStyle name="Финансовый 2 3 2 3 2 3 2" xfId="3699"/>
    <cellStyle name="Финансовый 2 3 2 3 2 3 3" xfId="5482"/>
    <cellStyle name="Финансовый 2 3 2 3 2 4" xfId="2583"/>
    <cellStyle name="Финансовый 2 3 2 3 2 4 2" xfId="4228"/>
    <cellStyle name="Финансовый 2 3 2 3 2 4 3" xfId="6011"/>
    <cellStyle name="Финансовый 2 3 2 3 2 5" xfId="1087"/>
    <cellStyle name="Финансовый 2 3 2 3 2 6" xfId="675"/>
    <cellStyle name="Финансовый 2 3 2 3 2 7" xfId="2864"/>
    <cellStyle name="Финансовый 2 3 2 3 2 8" xfId="4508"/>
    <cellStyle name="Финансовый 2 3 2 3 3" xfId="403"/>
    <cellStyle name="Финансовый 2 3 2 3 3 2" xfId="2182"/>
    <cellStyle name="Финансовый 2 3 2 3 3 2 2" xfId="3827"/>
    <cellStyle name="Финансовый 2 3 2 3 3 2 3" xfId="5610"/>
    <cellStyle name="Финансовый 2 3 2 3 3 3" xfId="1216"/>
    <cellStyle name="Финансовый 2 3 2 3 3 4" xfId="823"/>
    <cellStyle name="Финансовый 2 3 2 3 3 5" xfId="3000"/>
    <cellStyle name="Финансовый 2 3 2 3 3 6" xfId="4644"/>
    <cellStyle name="Финансовый 2 3 2 3 4" xfId="1483"/>
    <cellStyle name="Финансовый 2 3 2 3 4 2" xfId="1926"/>
    <cellStyle name="Финансовый 2 3 2 3 4 2 2" xfId="3571"/>
    <cellStyle name="Финансовый 2 3 2 3 4 2 3" xfId="5354"/>
    <cellStyle name="Финансовый 2 3 2 3 4 3" xfId="4911"/>
    <cellStyle name="Финансовый 2 3 2 3 5" xfId="1802"/>
    <cellStyle name="Финансовый 2 3 2 3 5 2" xfId="3447"/>
    <cellStyle name="Финансовый 2 3 2 3 5 3" xfId="5230"/>
    <cellStyle name="Финансовый 2 3 2 3 6" xfId="2447"/>
    <cellStyle name="Финансовый 2 3 2 3 6 2" xfId="4092"/>
    <cellStyle name="Финансовый 2 3 2 3 6 3" xfId="5875"/>
    <cellStyle name="Финансовый 2 3 2 3 7" xfId="1674"/>
    <cellStyle name="Финансовый 2 3 2 3 7 2" xfId="3319"/>
    <cellStyle name="Финансовый 2 3 2 3 7 3" xfId="5102"/>
    <cellStyle name="Финансовый 2 3 2 3 8" xfId="951"/>
    <cellStyle name="Финансовый 2 3 2 3 9" xfId="539"/>
    <cellStyle name="Финансовый 2 3 2 4" xfId="82"/>
    <cellStyle name="Финансовый 2 3 2 4 10" xfId="2692"/>
    <cellStyle name="Финансовый 2 3 2 4 11" xfId="4336"/>
    <cellStyle name="Финансовый 2 3 2 4 2" xfId="218"/>
    <cellStyle name="Финансовый 2 3 2 4 2 2" xfId="1316"/>
    <cellStyle name="Финансовый 2 3 2 4 2 2 2" xfId="2274"/>
    <cellStyle name="Финансовый 2 3 2 4 2 2 2 2" xfId="3919"/>
    <cellStyle name="Финансовый 2 3 2 4 2 2 2 3" xfId="5702"/>
    <cellStyle name="Финансовый 2 3 2 4 2 2 3" xfId="3100"/>
    <cellStyle name="Финансовый 2 3 2 4 2 2 4" xfId="4744"/>
    <cellStyle name="Финансовый 2 3 2 4 2 3" xfId="2018"/>
    <cellStyle name="Финансовый 2 3 2 4 2 3 2" xfId="3663"/>
    <cellStyle name="Финансовый 2 3 2 4 2 3 3" xfId="5446"/>
    <cellStyle name="Финансовый 2 3 2 4 2 4" xfId="2547"/>
    <cellStyle name="Финансовый 2 3 2 4 2 4 2" xfId="4192"/>
    <cellStyle name="Финансовый 2 3 2 4 2 4 3" xfId="5975"/>
    <cellStyle name="Финансовый 2 3 2 4 2 5" xfId="1051"/>
    <cellStyle name="Финансовый 2 3 2 4 2 6" xfId="639"/>
    <cellStyle name="Финансовый 2 3 2 4 2 7" xfId="2828"/>
    <cellStyle name="Финансовый 2 3 2 4 2 8" xfId="4472"/>
    <cellStyle name="Финансовый 2 3 2 4 3" xfId="367"/>
    <cellStyle name="Финансовый 2 3 2 4 3 2" xfId="2146"/>
    <cellStyle name="Финансовый 2 3 2 4 3 2 2" xfId="3791"/>
    <cellStyle name="Финансовый 2 3 2 4 3 2 3" xfId="5574"/>
    <cellStyle name="Финансовый 2 3 2 4 3 3" xfId="1180"/>
    <cellStyle name="Финансовый 2 3 2 4 3 4" xfId="787"/>
    <cellStyle name="Финансовый 2 3 2 4 3 5" xfId="2964"/>
    <cellStyle name="Финансовый 2 3 2 4 3 6" xfId="4608"/>
    <cellStyle name="Финансовый 2 3 2 4 4" xfId="1484"/>
    <cellStyle name="Финансовый 2 3 2 4 4 2" xfId="1890"/>
    <cellStyle name="Финансовый 2 3 2 4 4 2 2" xfId="3535"/>
    <cellStyle name="Финансовый 2 3 2 4 4 2 3" xfId="5318"/>
    <cellStyle name="Финансовый 2 3 2 4 4 3" xfId="4912"/>
    <cellStyle name="Финансовый 2 3 2 4 5" xfId="1766"/>
    <cellStyle name="Финансовый 2 3 2 4 5 2" xfId="3411"/>
    <cellStyle name="Финансовый 2 3 2 4 5 3" xfId="5194"/>
    <cellStyle name="Финансовый 2 3 2 4 6" xfId="2411"/>
    <cellStyle name="Финансовый 2 3 2 4 6 2" xfId="4056"/>
    <cellStyle name="Финансовый 2 3 2 4 6 3" xfId="5839"/>
    <cellStyle name="Финансовый 2 3 2 4 7" xfId="1638"/>
    <cellStyle name="Финансовый 2 3 2 4 7 2" xfId="3283"/>
    <cellStyle name="Финансовый 2 3 2 4 7 3" xfId="5066"/>
    <cellStyle name="Финансовый 2 3 2 4 8" xfId="915"/>
    <cellStyle name="Финансовый 2 3 2 4 9" xfId="503"/>
    <cellStyle name="Финансовый 2 3 2 5" xfId="60"/>
    <cellStyle name="Финансовый 2 3 2 5 10" xfId="2672"/>
    <cellStyle name="Финансовый 2 3 2 5 11" xfId="4315"/>
    <cellStyle name="Финансовый 2 3 2 5 2" xfId="198"/>
    <cellStyle name="Финансовый 2 3 2 5 2 2" xfId="1296"/>
    <cellStyle name="Финансовый 2 3 2 5 2 2 2" xfId="2262"/>
    <cellStyle name="Финансовый 2 3 2 5 2 2 2 2" xfId="3907"/>
    <cellStyle name="Финансовый 2 3 2 5 2 2 2 3" xfId="5690"/>
    <cellStyle name="Финансовый 2 3 2 5 2 2 3" xfId="3080"/>
    <cellStyle name="Финансовый 2 3 2 5 2 2 4" xfId="4724"/>
    <cellStyle name="Финансовый 2 3 2 5 2 3" xfId="2006"/>
    <cellStyle name="Финансовый 2 3 2 5 2 3 2" xfId="3651"/>
    <cellStyle name="Финансовый 2 3 2 5 2 3 3" xfId="5434"/>
    <cellStyle name="Финансовый 2 3 2 5 2 4" xfId="2527"/>
    <cellStyle name="Финансовый 2 3 2 5 2 4 2" xfId="4172"/>
    <cellStyle name="Финансовый 2 3 2 5 2 4 3" xfId="5955"/>
    <cellStyle name="Финансовый 2 3 2 5 2 5" xfId="1031"/>
    <cellStyle name="Финансовый 2 3 2 5 2 6" xfId="619"/>
    <cellStyle name="Финансовый 2 3 2 5 2 7" xfId="2808"/>
    <cellStyle name="Финансовый 2 3 2 5 2 8" xfId="4452"/>
    <cellStyle name="Финансовый 2 3 2 5 3" xfId="347"/>
    <cellStyle name="Финансовый 2 3 2 5 3 2" xfId="2134"/>
    <cellStyle name="Финансовый 2 3 2 5 3 2 2" xfId="3779"/>
    <cellStyle name="Финансовый 2 3 2 5 3 2 3" xfId="5562"/>
    <cellStyle name="Финансовый 2 3 2 5 3 3" xfId="1167"/>
    <cellStyle name="Финансовый 2 3 2 5 3 4" xfId="767"/>
    <cellStyle name="Финансовый 2 3 2 5 3 5" xfId="2944"/>
    <cellStyle name="Финансовый 2 3 2 5 3 6" xfId="4588"/>
    <cellStyle name="Финансовый 2 3 2 5 4" xfId="1485"/>
    <cellStyle name="Финансовый 2 3 2 5 4 2" xfId="1870"/>
    <cellStyle name="Финансовый 2 3 2 5 4 2 2" xfId="3515"/>
    <cellStyle name="Финансовый 2 3 2 5 4 2 3" xfId="5298"/>
    <cellStyle name="Финансовый 2 3 2 5 4 3" xfId="4913"/>
    <cellStyle name="Финансовый 2 3 2 5 5" xfId="1754"/>
    <cellStyle name="Финансовый 2 3 2 5 5 2" xfId="3399"/>
    <cellStyle name="Финансовый 2 3 2 5 5 3" xfId="5182"/>
    <cellStyle name="Финансовый 2 3 2 5 6" xfId="2390"/>
    <cellStyle name="Финансовый 2 3 2 5 6 2" xfId="4035"/>
    <cellStyle name="Финансовый 2 3 2 5 6 3" xfId="5818"/>
    <cellStyle name="Финансовый 2 3 2 5 7" xfId="1617"/>
    <cellStyle name="Финансовый 2 3 2 5 7 2" xfId="3262"/>
    <cellStyle name="Финансовый 2 3 2 5 7 3" xfId="5045"/>
    <cellStyle name="Финансовый 2 3 2 5 8" xfId="903"/>
    <cellStyle name="Финансовый 2 3 2 5 9" xfId="483"/>
    <cellStyle name="Финансовый 2 3 2 6" xfId="138"/>
    <cellStyle name="Финансовый 2 3 2 6 10" xfId="2748"/>
    <cellStyle name="Финансовый 2 3 2 6 11" xfId="4392"/>
    <cellStyle name="Финансовый 2 3 2 6 2" xfId="274"/>
    <cellStyle name="Финансовый 2 3 2 6 2 2" xfId="1372"/>
    <cellStyle name="Финансовый 2 3 2 6 2 2 2" xfId="2330"/>
    <cellStyle name="Финансовый 2 3 2 6 2 2 2 2" xfId="3975"/>
    <cellStyle name="Финансовый 2 3 2 6 2 2 2 3" xfId="5758"/>
    <cellStyle name="Финансовый 2 3 2 6 2 2 3" xfId="3156"/>
    <cellStyle name="Финансовый 2 3 2 6 2 2 4" xfId="4800"/>
    <cellStyle name="Финансовый 2 3 2 6 2 3" xfId="2074"/>
    <cellStyle name="Финансовый 2 3 2 6 2 3 2" xfId="3719"/>
    <cellStyle name="Финансовый 2 3 2 6 2 3 3" xfId="5502"/>
    <cellStyle name="Финансовый 2 3 2 6 2 4" xfId="2603"/>
    <cellStyle name="Финансовый 2 3 2 6 2 4 2" xfId="4248"/>
    <cellStyle name="Финансовый 2 3 2 6 2 4 3" xfId="6031"/>
    <cellStyle name="Финансовый 2 3 2 6 2 5" xfId="1107"/>
    <cellStyle name="Финансовый 2 3 2 6 2 6" xfId="695"/>
    <cellStyle name="Финансовый 2 3 2 6 2 7" xfId="2884"/>
    <cellStyle name="Финансовый 2 3 2 6 2 8" xfId="4528"/>
    <cellStyle name="Финансовый 2 3 2 6 3" xfId="423"/>
    <cellStyle name="Финансовый 2 3 2 6 3 2" xfId="2202"/>
    <cellStyle name="Финансовый 2 3 2 6 3 2 2" xfId="3847"/>
    <cellStyle name="Финансовый 2 3 2 6 3 2 3" xfId="5630"/>
    <cellStyle name="Финансовый 2 3 2 6 3 3" xfId="1236"/>
    <cellStyle name="Финансовый 2 3 2 6 3 4" xfId="843"/>
    <cellStyle name="Финансовый 2 3 2 6 3 5" xfId="3020"/>
    <cellStyle name="Финансовый 2 3 2 6 3 6" xfId="4664"/>
    <cellStyle name="Финансовый 2 3 2 6 4" xfId="1486"/>
    <cellStyle name="Финансовый 2 3 2 6 4 2" xfId="1946"/>
    <cellStyle name="Финансовый 2 3 2 6 4 2 2" xfId="3591"/>
    <cellStyle name="Финансовый 2 3 2 6 4 2 3" xfId="5374"/>
    <cellStyle name="Финансовый 2 3 2 6 4 3" xfId="4914"/>
    <cellStyle name="Финансовый 2 3 2 6 5" xfId="1822"/>
    <cellStyle name="Финансовый 2 3 2 6 5 2" xfId="3467"/>
    <cellStyle name="Финансовый 2 3 2 6 5 3" xfId="5250"/>
    <cellStyle name="Финансовый 2 3 2 6 6" xfId="2467"/>
    <cellStyle name="Финансовый 2 3 2 6 6 2" xfId="4112"/>
    <cellStyle name="Финансовый 2 3 2 6 6 3" xfId="5895"/>
    <cellStyle name="Финансовый 2 3 2 6 7" xfId="1694"/>
    <cellStyle name="Финансовый 2 3 2 6 7 2" xfId="3339"/>
    <cellStyle name="Финансовый 2 3 2 6 7 3" xfId="5122"/>
    <cellStyle name="Финансовый 2 3 2 6 8" xfId="971"/>
    <cellStyle name="Финансовый 2 3 2 6 9" xfId="559"/>
    <cellStyle name="Финансовый 2 3 2 7" xfId="36"/>
    <cellStyle name="Финансовый 2 3 2 7 10" xfId="2648"/>
    <cellStyle name="Финансовый 2 3 2 7 11" xfId="4291"/>
    <cellStyle name="Финансовый 2 3 2 7 2" xfId="174"/>
    <cellStyle name="Финансовый 2 3 2 7 2 2" xfId="1272"/>
    <cellStyle name="Финансовый 2 3 2 7 2 2 2" xfId="2238"/>
    <cellStyle name="Финансовый 2 3 2 7 2 2 2 2" xfId="3883"/>
    <cellStyle name="Финансовый 2 3 2 7 2 2 2 3" xfId="5666"/>
    <cellStyle name="Финансовый 2 3 2 7 2 2 3" xfId="3056"/>
    <cellStyle name="Финансовый 2 3 2 7 2 2 4" xfId="4700"/>
    <cellStyle name="Финансовый 2 3 2 7 2 3" xfId="1982"/>
    <cellStyle name="Финансовый 2 3 2 7 2 3 2" xfId="3627"/>
    <cellStyle name="Финансовый 2 3 2 7 2 3 3" xfId="5410"/>
    <cellStyle name="Финансовый 2 3 2 7 2 4" xfId="2503"/>
    <cellStyle name="Финансовый 2 3 2 7 2 4 2" xfId="4148"/>
    <cellStyle name="Финансовый 2 3 2 7 2 4 3" xfId="5931"/>
    <cellStyle name="Финансовый 2 3 2 7 2 5" xfId="1007"/>
    <cellStyle name="Финансовый 2 3 2 7 2 6" xfId="595"/>
    <cellStyle name="Финансовый 2 3 2 7 2 7" xfId="2784"/>
    <cellStyle name="Финансовый 2 3 2 7 2 8" xfId="4428"/>
    <cellStyle name="Финансовый 2 3 2 7 3" xfId="323"/>
    <cellStyle name="Финансовый 2 3 2 7 3 2" xfId="2110"/>
    <cellStyle name="Финансовый 2 3 2 7 3 2 2" xfId="3755"/>
    <cellStyle name="Финансовый 2 3 2 7 3 2 3" xfId="5538"/>
    <cellStyle name="Финансовый 2 3 2 7 3 3" xfId="1143"/>
    <cellStyle name="Финансовый 2 3 2 7 3 4" xfId="743"/>
    <cellStyle name="Финансовый 2 3 2 7 3 5" xfId="2920"/>
    <cellStyle name="Финансовый 2 3 2 7 3 6" xfId="4564"/>
    <cellStyle name="Финансовый 2 3 2 7 4" xfId="1456"/>
    <cellStyle name="Финансовый 2 3 2 7 4 2" xfId="1846"/>
    <cellStyle name="Финансовый 2 3 2 7 4 2 2" xfId="3491"/>
    <cellStyle name="Финансовый 2 3 2 7 4 2 3" xfId="5274"/>
    <cellStyle name="Финансовый 2 3 2 7 4 3" xfId="4884"/>
    <cellStyle name="Финансовый 2 3 2 7 5" xfId="1730"/>
    <cellStyle name="Финансовый 2 3 2 7 5 2" xfId="3375"/>
    <cellStyle name="Финансовый 2 3 2 7 5 3" xfId="5158"/>
    <cellStyle name="Финансовый 2 3 2 7 6" xfId="2366"/>
    <cellStyle name="Финансовый 2 3 2 7 6 2" xfId="4011"/>
    <cellStyle name="Финансовый 2 3 2 7 6 3" xfId="5794"/>
    <cellStyle name="Финансовый 2 3 2 7 7" xfId="1593"/>
    <cellStyle name="Финансовый 2 3 2 7 7 2" xfId="3238"/>
    <cellStyle name="Финансовый 2 3 2 7 7 3" xfId="5021"/>
    <cellStyle name="Финансовый 2 3 2 7 8" xfId="879"/>
    <cellStyle name="Финансовый 2 3 2 7 9" xfId="459"/>
    <cellStyle name="Финансовый 2 3 2 8" xfId="24"/>
    <cellStyle name="Финансовый 2 3 2 8 10" xfId="2636"/>
    <cellStyle name="Финансовый 2 3 2 8 11" xfId="4279"/>
    <cellStyle name="Финансовый 2 3 2 8 2" xfId="162"/>
    <cellStyle name="Финансовый 2 3 2 8 2 2" xfId="1260"/>
    <cellStyle name="Финансовый 2 3 2 8 2 2 2" xfId="2226"/>
    <cellStyle name="Финансовый 2 3 2 8 2 2 2 2" xfId="3871"/>
    <cellStyle name="Финансовый 2 3 2 8 2 2 2 3" xfId="5654"/>
    <cellStyle name="Финансовый 2 3 2 8 2 2 3" xfId="3044"/>
    <cellStyle name="Финансовый 2 3 2 8 2 2 4" xfId="4688"/>
    <cellStyle name="Финансовый 2 3 2 8 2 3" xfId="1970"/>
    <cellStyle name="Финансовый 2 3 2 8 2 3 2" xfId="3615"/>
    <cellStyle name="Финансовый 2 3 2 8 2 3 3" xfId="5398"/>
    <cellStyle name="Финансовый 2 3 2 8 2 4" xfId="2491"/>
    <cellStyle name="Финансовый 2 3 2 8 2 4 2" xfId="4136"/>
    <cellStyle name="Финансовый 2 3 2 8 2 4 3" xfId="5919"/>
    <cellStyle name="Финансовый 2 3 2 8 2 5" xfId="995"/>
    <cellStyle name="Финансовый 2 3 2 8 2 6" xfId="583"/>
    <cellStyle name="Финансовый 2 3 2 8 2 7" xfId="2772"/>
    <cellStyle name="Финансовый 2 3 2 8 2 8" xfId="4416"/>
    <cellStyle name="Финансовый 2 3 2 8 3" xfId="311"/>
    <cellStyle name="Финансовый 2 3 2 8 3 2" xfId="2098"/>
    <cellStyle name="Финансовый 2 3 2 8 3 2 2" xfId="3743"/>
    <cellStyle name="Финансовый 2 3 2 8 3 2 3" xfId="5526"/>
    <cellStyle name="Финансовый 2 3 2 8 3 3" xfId="1131"/>
    <cellStyle name="Финансовый 2 3 2 8 3 4" xfId="731"/>
    <cellStyle name="Финансовый 2 3 2 8 3 5" xfId="2908"/>
    <cellStyle name="Финансовый 2 3 2 8 3 6" xfId="4552"/>
    <cellStyle name="Финансовый 2 3 2 8 4" xfId="1467"/>
    <cellStyle name="Финансовый 2 3 2 8 4 2" xfId="1834"/>
    <cellStyle name="Финансовый 2 3 2 8 4 2 2" xfId="3479"/>
    <cellStyle name="Финансовый 2 3 2 8 4 2 3" xfId="5262"/>
    <cellStyle name="Финансовый 2 3 2 8 4 3" xfId="4895"/>
    <cellStyle name="Финансовый 2 3 2 8 5" xfId="1718"/>
    <cellStyle name="Финансовый 2 3 2 8 5 2" xfId="3363"/>
    <cellStyle name="Финансовый 2 3 2 8 5 3" xfId="5146"/>
    <cellStyle name="Финансовый 2 3 2 8 6" xfId="2354"/>
    <cellStyle name="Финансовый 2 3 2 8 6 2" xfId="3999"/>
    <cellStyle name="Финансовый 2 3 2 8 6 3" xfId="5782"/>
    <cellStyle name="Финансовый 2 3 2 8 7" xfId="1581"/>
    <cellStyle name="Финансовый 2 3 2 8 7 2" xfId="3226"/>
    <cellStyle name="Финансовый 2 3 2 8 7 3" xfId="5009"/>
    <cellStyle name="Финансовый 2 3 2 8 8" xfId="867"/>
    <cellStyle name="Финансовый 2 3 2 8 9" xfId="447"/>
    <cellStyle name="Финансовый 2 3 2 9" xfId="150"/>
    <cellStyle name="Финансовый 2 3 2 9 2" xfId="1248"/>
    <cellStyle name="Финансовый 2 3 2 9 2 2" xfId="2214"/>
    <cellStyle name="Финансовый 2 3 2 9 2 2 2" xfId="3859"/>
    <cellStyle name="Финансовый 2 3 2 9 2 2 3" xfId="5642"/>
    <cellStyle name="Финансовый 2 3 2 9 2 3" xfId="3032"/>
    <cellStyle name="Финансовый 2 3 2 9 2 4" xfId="4676"/>
    <cellStyle name="Финансовый 2 3 2 9 3" xfId="1958"/>
    <cellStyle name="Финансовый 2 3 2 9 3 2" xfId="3603"/>
    <cellStyle name="Финансовый 2 3 2 9 3 3" xfId="5386"/>
    <cellStyle name="Финансовый 2 3 2 9 4" xfId="2479"/>
    <cellStyle name="Финансовый 2 3 2 9 4 2" xfId="4124"/>
    <cellStyle name="Финансовый 2 3 2 9 4 3" xfId="5907"/>
    <cellStyle name="Финансовый 2 3 2 9 5" xfId="983"/>
    <cellStyle name="Финансовый 2 3 2 9 6" xfId="571"/>
    <cellStyle name="Финансовый 2 3 2 9 7" xfId="2760"/>
    <cellStyle name="Финансовый 2 3 2 9 8" xfId="4404"/>
    <cellStyle name="Финансовый 2 3 20" xfId="2618"/>
    <cellStyle name="Финансовый 2 3 21" xfId="4261"/>
    <cellStyle name="Финансовый 2 3 3" xfId="42"/>
    <cellStyle name="Финансовый 2 3 3 10" xfId="885"/>
    <cellStyle name="Финансовый 2 3 3 11" xfId="465"/>
    <cellStyle name="Финансовый 2 3 3 12" xfId="2654"/>
    <cellStyle name="Финансовый 2 3 3 13" xfId="4297"/>
    <cellStyle name="Финансовый 2 3 3 2" xfId="124"/>
    <cellStyle name="Финансовый 2 3 3 2 10" xfId="2734"/>
    <cellStyle name="Финансовый 2 3 3 2 11" xfId="4378"/>
    <cellStyle name="Финансовый 2 3 3 2 2" xfId="260"/>
    <cellStyle name="Финансовый 2 3 3 2 2 2" xfId="1358"/>
    <cellStyle name="Финансовый 2 3 3 2 2 2 2" xfId="2316"/>
    <cellStyle name="Финансовый 2 3 3 2 2 2 2 2" xfId="3961"/>
    <cellStyle name="Финансовый 2 3 3 2 2 2 2 3" xfId="5744"/>
    <cellStyle name="Финансовый 2 3 3 2 2 2 3" xfId="3142"/>
    <cellStyle name="Финансовый 2 3 3 2 2 2 4" xfId="4786"/>
    <cellStyle name="Финансовый 2 3 3 2 2 3" xfId="2060"/>
    <cellStyle name="Финансовый 2 3 3 2 2 3 2" xfId="3705"/>
    <cellStyle name="Финансовый 2 3 3 2 2 3 3" xfId="5488"/>
    <cellStyle name="Финансовый 2 3 3 2 2 4" xfId="2589"/>
    <cellStyle name="Финансовый 2 3 3 2 2 4 2" xfId="4234"/>
    <cellStyle name="Финансовый 2 3 3 2 2 4 3" xfId="6017"/>
    <cellStyle name="Финансовый 2 3 3 2 2 5" xfId="1093"/>
    <cellStyle name="Финансовый 2 3 3 2 2 6" xfId="681"/>
    <cellStyle name="Финансовый 2 3 3 2 2 7" xfId="2870"/>
    <cellStyle name="Финансовый 2 3 3 2 2 8" xfId="4514"/>
    <cellStyle name="Финансовый 2 3 3 2 3" xfId="409"/>
    <cellStyle name="Финансовый 2 3 3 2 3 2" xfId="2188"/>
    <cellStyle name="Финансовый 2 3 3 2 3 2 2" xfId="3833"/>
    <cellStyle name="Финансовый 2 3 3 2 3 2 3" xfId="5616"/>
    <cellStyle name="Финансовый 2 3 3 2 3 3" xfId="1222"/>
    <cellStyle name="Финансовый 2 3 3 2 3 4" xfId="829"/>
    <cellStyle name="Финансовый 2 3 3 2 3 5" xfId="3006"/>
    <cellStyle name="Финансовый 2 3 3 2 3 6" xfId="4650"/>
    <cellStyle name="Финансовый 2 3 3 2 4" xfId="1488"/>
    <cellStyle name="Финансовый 2 3 3 2 4 2" xfId="1932"/>
    <cellStyle name="Финансовый 2 3 3 2 4 2 2" xfId="3577"/>
    <cellStyle name="Финансовый 2 3 3 2 4 2 3" xfId="5360"/>
    <cellStyle name="Финансовый 2 3 3 2 4 3" xfId="4916"/>
    <cellStyle name="Финансовый 2 3 3 2 5" xfId="1808"/>
    <cellStyle name="Финансовый 2 3 3 2 5 2" xfId="3453"/>
    <cellStyle name="Финансовый 2 3 3 2 5 3" xfId="5236"/>
    <cellStyle name="Финансовый 2 3 3 2 6" xfId="2453"/>
    <cellStyle name="Финансовый 2 3 3 2 6 2" xfId="4098"/>
    <cellStyle name="Финансовый 2 3 3 2 6 3" xfId="5881"/>
    <cellStyle name="Финансовый 2 3 3 2 7" xfId="1680"/>
    <cellStyle name="Финансовый 2 3 3 2 7 2" xfId="3325"/>
    <cellStyle name="Финансовый 2 3 3 2 7 3" xfId="5108"/>
    <cellStyle name="Финансовый 2 3 3 2 8" xfId="957"/>
    <cellStyle name="Финансовый 2 3 3 2 9" xfId="545"/>
    <cellStyle name="Финансовый 2 3 3 3" xfId="88"/>
    <cellStyle name="Финансовый 2 3 3 3 10" xfId="2698"/>
    <cellStyle name="Финансовый 2 3 3 3 11" xfId="4342"/>
    <cellStyle name="Финансовый 2 3 3 3 2" xfId="224"/>
    <cellStyle name="Финансовый 2 3 3 3 2 2" xfId="1322"/>
    <cellStyle name="Финансовый 2 3 3 3 2 2 2" xfId="2280"/>
    <cellStyle name="Финансовый 2 3 3 3 2 2 2 2" xfId="3925"/>
    <cellStyle name="Финансовый 2 3 3 3 2 2 2 3" xfId="5708"/>
    <cellStyle name="Финансовый 2 3 3 3 2 2 3" xfId="3106"/>
    <cellStyle name="Финансовый 2 3 3 3 2 2 4" xfId="4750"/>
    <cellStyle name="Финансовый 2 3 3 3 2 3" xfId="2024"/>
    <cellStyle name="Финансовый 2 3 3 3 2 3 2" xfId="3669"/>
    <cellStyle name="Финансовый 2 3 3 3 2 3 3" xfId="5452"/>
    <cellStyle name="Финансовый 2 3 3 3 2 4" xfId="2553"/>
    <cellStyle name="Финансовый 2 3 3 3 2 4 2" xfId="4198"/>
    <cellStyle name="Финансовый 2 3 3 3 2 4 3" xfId="5981"/>
    <cellStyle name="Финансовый 2 3 3 3 2 5" xfId="1057"/>
    <cellStyle name="Финансовый 2 3 3 3 2 6" xfId="645"/>
    <cellStyle name="Финансовый 2 3 3 3 2 7" xfId="2834"/>
    <cellStyle name="Финансовый 2 3 3 3 2 8" xfId="4478"/>
    <cellStyle name="Финансовый 2 3 3 3 3" xfId="373"/>
    <cellStyle name="Финансовый 2 3 3 3 3 2" xfId="2152"/>
    <cellStyle name="Финансовый 2 3 3 3 3 2 2" xfId="3797"/>
    <cellStyle name="Финансовый 2 3 3 3 3 2 3" xfId="5580"/>
    <cellStyle name="Финансовый 2 3 3 3 3 3" xfId="1186"/>
    <cellStyle name="Финансовый 2 3 3 3 3 4" xfId="793"/>
    <cellStyle name="Финансовый 2 3 3 3 3 5" xfId="2970"/>
    <cellStyle name="Финансовый 2 3 3 3 3 6" xfId="4614"/>
    <cellStyle name="Финансовый 2 3 3 3 4" xfId="1489"/>
    <cellStyle name="Финансовый 2 3 3 3 4 2" xfId="1896"/>
    <cellStyle name="Финансовый 2 3 3 3 4 2 2" xfId="3541"/>
    <cellStyle name="Финансовый 2 3 3 3 4 2 3" xfId="5324"/>
    <cellStyle name="Финансовый 2 3 3 3 4 3" xfId="4917"/>
    <cellStyle name="Финансовый 2 3 3 3 5" xfId="1772"/>
    <cellStyle name="Финансовый 2 3 3 3 5 2" xfId="3417"/>
    <cellStyle name="Финансовый 2 3 3 3 5 3" xfId="5200"/>
    <cellStyle name="Финансовый 2 3 3 3 6" xfId="2417"/>
    <cellStyle name="Финансовый 2 3 3 3 6 2" xfId="4062"/>
    <cellStyle name="Финансовый 2 3 3 3 6 3" xfId="5845"/>
    <cellStyle name="Финансовый 2 3 3 3 7" xfId="1644"/>
    <cellStyle name="Финансовый 2 3 3 3 7 2" xfId="3289"/>
    <cellStyle name="Финансовый 2 3 3 3 7 3" xfId="5072"/>
    <cellStyle name="Финансовый 2 3 3 3 8" xfId="921"/>
    <cellStyle name="Финансовый 2 3 3 3 9" xfId="509"/>
    <cellStyle name="Финансовый 2 3 3 4" xfId="180"/>
    <cellStyle name="Финансовый 2 3 3 4 2" xfId="1278"/>
    <cellStyle name="Финансовый 2 3 3 4 2 2" xfId="2244"/>
    <cellStyle name="Финансовый 2 3 3 4 2 2 2" xfId="3889"/>
    <cellStyle name="Финансовый 2 3 3 4 2 2 3" xfId="5672"/>
    <cellStyle name="Финансовый 2 3 3 4 2 3" xfId="3062"/>
    <cellStyle name="Финансовый 2 3 3 4 2 4" xfId="4706"/>
    <cellStyle name="Финансовый 2 3 3 4 3" xfId="1988"/>
    <cellStyle name="Финансовый 2 3 3 4 3 2" xfId="3633"/>
    <cellStyle name="Финансовый 2 3 3 4 3 3" xfId="5416"/>
    <cellStyle name="Финансовый 2 3 3 4 4" xfId="2509"/>
    <cellStyle name="Финансовый 2 3 3 4 4 2" xfId="4154"/>
    <cellStyle name="Финансовый 2 3 3 4 4 3" xfId="5937"/>
    <cellStyle name="Финансовый 2 3 3 4 5" xfId="1013"/>
    <cellStyle name="Финансовый 2 3 3 4 6" xfId="601"/>
    <cellStyle name="Финансовый 2 3 3 4 7" xfId="2790"/>
    <cellStyle name="Финансовый 2 3 3 4 8" xfId="4434"/>
    <cellStyle name="Финансовый 2 3 3 5" xfId="329"/>
    <cellStyle name="Финансовый 2 3 3 5 2" xfId="2116"/>
    <cellStyle name="Финансовый 2 3 3 5 2 2" xfId="3761"/>
    <cellStyle name="Финансовый 2 3 3 5 2 3" xfId="5544"/>
    <cellStyle name="Финансовый 2 3 3 5 3" xfId="1149"/>
    <cellStyle name="Финансовый 2 3 3 5 4" xfId="749"/>
    <cellStyle name="Финансовый 2 3 3 5 5" xfId="2926"/>
    <cellStyle name="Финансовый 2 3 3 5 6" xfId="4570"/>
    <cellStyle name="Финансовый 2 3 3 6" xfId="1487"/>
    <cellStyle name="Финансовый 2 3 3 6 2" xfId="1852"/>
    <cellStyle name="Финансовый 2 3 3 6 2 2" xfId="3497"/>
    <cellStyle name="Финансовый 2 3 3 6 2 3" xfId="5280"/>
    <cellStyle name="Финансовый 2 3 3 6 3" xfId="4915"/>
    <cellStyle name="Финансовый 2 3 3 7" xfId="1736"/>
    <cellStyle name="Финансовый 2 3 3 7 2" xfId="3381"/>
    <cellStyle name="Финансовый 2 3 3 7 3" xfId="5164"/>
    <cellStyle name="Финансовый 2 3 3 8" xfId="2372"/>
    <cellStyle name="Финансовый 2 3 3 8 2" xfId="4017"/>
    <cellStyle name="Финансовый 2 3 3 8 3" xfId="5800"/>
    <cellStyle name="Финансовый 2 3 3 9" xfId="1599"/>
    <cellStyle name="Финансовый 2 3 3 9 2" xfId="3244"/>
    <cellStyle name="Финансовый 2 3 3 9 3" xfId="5027"/>
    <cellStyle name="Финансовый 2 3 4" xfId="94"/>
    <cellStyle name="Финансовый 2 3 4 10" xfId="2704"/>
    <cellStyle name="Финансовый 2 3 4 11" xfId="4348"/>
    <cellStyle name="Финансовый 2 3 4 2" xfId="230"/>
    <cellStyle name="Финансовый 2 3 4 2 2" xfId="1328"/>
    <cellStyle name="Финансовый 2 3 4 2 2 2" xfId="2286"/>
    <cellStyle name="Финансовый 2 3 4 2 2 2 2" xfId="3931"/>
    <cellStyle name="Финансовый 2 3 4 2 2 2 3" xfId="5714"/>
    <cellStyle name="Финансовый 2 3 4 2 2 3" xfId="3112"/>
    <cellStyle name="Финансовый 2 3 4 2 2 4" xfId="4756"/>
    <cellStyle name="Финансовый 2 3 4 2 3" xfId="2030"/>
    <cellStyle name="Финансовый 2 3 4 2 3 2" xfId="3675"/>
    <cellStyle name="Финансовый 2 3 4 2 3 3" xfId="5458"/>
    <cellStyle name="Финансовый 2 3 4 2 4" xfId="2559"/>
    <cellStyle name="Финансовый 2 3 4 2 4 2" xfId="4204"/>
    <cellStyle name="Финансовый 2 3 4 2 4 3" xfId="5987"/>
    <cellStyle name="Финансовый 2 3 4 2 5" xfId="1063"/>
    <cellStyle name="Финансовый 2 3 4 2 6" xfId="651"/>
    <cellStyle name="Финансовый 2 3 4 2 7" xfId="2840"/>
    <cellStyle name="Финансовый 2 3 4 2 8" xfId="4484"/>
    <cellStyle name="Финансовый 2 3 4 3" xfId="379"/>
    <cellStyle name="Финансовый 2 3 4 3 2" xfId="2158"/>
    <cellStyle name="Финансовый 2 3 4 3 2 2" xfId="3803"/>
    <cellStyle name="Финансовый 2 3 4 3 2 3" xfId="5586"/>
    <cellStyle name="Финансовый 2 3 4 3 3" xfId="1192"/>
    <cellStyle name="Финансовый 2 3 4 3 4" xfId="799"/>
    <cellStyle name="Финансовый 2 3 4 3 5" xfId="2976"/>
    <cellStyle name="Финансовый 2 3 4 3 6" xfId="4620"/>
    <cellStyle name="Финансовый 2 3 4 4" xfId="1490"/>
    <cellStyle name="Финансовый 2 3 4 4 2" xfId="1902"/>
    <cellStyle name="Финансовый 2 3 4 4 2 2" xfId="3547"/>
    <cellStyle name="Финансовый 2 3 4 4 2 3" xfId="5330"/>
    <cellStyle name="Финансовый 2 3 4 4 3" xfId="4918"/>
    <cellStyle name="Финансовый 2 3 4 5" xfId="1778"/>
    <cellStyle name="Финансовый 2 3 4 5 2" xfId="3423"/>
    <cellStyle name="Финансовый 2 3 4 5 3" xfId="5206"/>
    <cellStyle name="Финансовый 2 3 4 6" xfId="2423"/>
    <cellStyle name="Финансовый 2 3 4 6 2" xfId="4068"/>
    <cellStyle name="Финансовый 2 3 4 6 3" xfId="5851"/>
    <cellStyle name="Финансовый 2 3 4 7" xfId="1650"/>
    <cellStyle name="Финансовый 2 3 4 7 2" xfId="3295"/>
    <cellStyle name="Финансовый 2 3 4 7 3" xfId="5078"/>
    <cellStyle name="Финансовый 2 3 4 8" xfId="927"/>
    <cellStyle name="Финансовый 2 3 4 9" xfId="515"/>
    <cellStyle name="Финансовый 2 3 5" xfId="100"/>
    <cellStyle name="Финансовый 2 3 5 10" xfId="2710"/>
    <cellStyle name="Финансовый 2 3 5 11" xfId="4354"/>
    <cellStyle name="Финансовый 2 3 5 2" xfId="236"/>
    <cellStyle name="Финансовый 2 3 5 2 2" xfId="1334"/>
    <cellStyle name="Финансовый 2 3 5 2 2 2" xfId="2292"/>
    <cellStyle name="Финансовый 2 3 5 2 2 2 2" xfId="3937"/>
    <cellStyle name="Финансовый 2 3 5 2 2 2 3" xfId="5720"/>
    <cellStyle name="Финансовый 2 3 5 2 2 3" xfId="3118"/>
    <cellStyle name="Финансовый 2 3 5 2 2 4" xfId="4762"/>
    <cellStyle name="Финансовый 2 3 5 2 3" xfId="2036"/>
    <cellStyle name="Финансовый 2 3 5 2 3 2" xfId="3681"/>
    <cellStyle name="Финансовый 2 3 5 2 3 3" xfId="5464"/>
    <cellStyle name="Финансовый 2 3 5 2 4" xfId="2565"/>
    <cellStyle name="Финансовый 2 3 5 2 4 2" xfId="4210"/>
    <cellStyle name="Финансовый 2 3 5 2 4 3" xfId="5993"/>
    <cellStyle name="Финансовый 2 3 5 2 5" xfId="1069"/>
    <cellStyle name="Финансовый 2 3 5 2 6" xfId="657"/>
    <cellStyle name="Финансовый 2 3 5 2 7" xfId="2846"/>
    <cellStyle name="Финансовый 2 3 5 2 8" xfId="4490"/>
    <cellStyle name="Финансовый 2 3 5 3" xfId="385"/>
    <cellStyle name="Финансовый 2 3 5 3 2" xfId="2164"/>
    <cellStyle name="Финансовый 2 3 5 3 2 2" xfId="3809"/>
    <cellStyle name="Финансовый 2 3 5 3 2 3" xfId="5592"/>
    <cellStyle name="Финансовый 2 3 5 3 3" xfId="1198"/>
    <cellStyle name="Финансовый 2 3 5 3 4" xfId="805"/>
    <cellStyle name="Финансовый 2 3 5 3 5" xfId="2982"/>
    <cellStyle name="Финансовый 2 3 5 3 6" xfId="4626"/>
    <cellStyle name="Финансовый 2 3 5 4" xfId="1491"/>
    <cellStyle name="Финансовый 2 3 5 4 2" xfId="1908"/>
    <cellStyle name="Финансовый 2 3 5 4 2 2" xfId="3553"/>
    <cellStyle name="Финансовый 2 3 5 4 2 3" xfId="5336"/>
    <cellStyle name="Финансовый 2 3 5 4 3" xfId="4919"/>
    <cellStyle name="Финансовый 2 3 5 5" xfId="1784"/>
    <cellStyle name="Финансовый 2 3 5 5 2" xfId="3429"/>
    <cellStyle name="Финансовый 2 3 5 5 3" xfId="5212"/>
    <cellStyle name="Финансовый 2 3 5 6" xfId="2429"/>
    <cellStyle name="Финансовый 2 3 5 6 2" xfId="4074"/>
    <cellStyle name="Финансовый 2 3 5 6 3" xfId="5857"/>
    <cellStyle name="Финансовый 2 3 5 7" xfId="1656"/>
    <cellStyle name="Финансовый 2 3 5 7 2" xfId="3301"/>
    <cellStyle name="Финансовый 2 3 5 7 3" xfId="5084"/>
    <cellStyle name="Финансовый 2 3 5 8" xfId="933"/>
    <cellStyle name="Финансовый 2 3 5 9" xfId="521"/>
    <cellStyle name="Финансовый 2 3 6" xfId="112"/>
    <cellStyle name="Финансовый 2 3 6 10" xfId="2722"/>
    <cellStyle name="Финансовый 2 3 6 11" xfId="4366"/>
    <cellStyle name="Финансовый 2 3 6 2" xfId="248"/>
    <cellStyle name="Финансовый 2 3 6 2 2" xfId="1346"/>
    <cellStyle name="Финансовый 2 3 6 2 2 2" xfId="2304"/>
    <cellStyle name="Финансовый 2 3 6 2 2 2 2" xfId="3949"/>
    <cellStyle name="Финансовый 2 3 6 2 2 2 3" xfId="5732"/>
    <cellStyle name="Финансовый 2 3 6 2 2 3" xfId="3130"/>
    <cellStyle name="Финансовый 2 3 6 2 2 4" xfId="4774"/>
    <cellStyle name="Финансовый 2 3 6 2 3" xfId="2048"/>
    <cellStyle name="Финансовый 2 3 6 2 3 2" xfId="3693"/>
    <cellStyle name="Финансовый 2 3 6 2 3 3" xfId="5476"/>
    <cellStyle name="Финансовый 2 3 6 2 4" xfId="2577"/>
    <cellStyle name="Финансовый 2 3 6 2 4 2" xfId="4222"/>
    <cellStyle name="Финансовый 2 3 6 2 4 3" xfId="6005"/>
    <cellStyle name="Финансовый 2 3 6 2 5" xfId="1081"/>
    <cellStyle name="Финансовый 2 3 6 2 6" xfId="669"/>
    <cellStyle name="Финансовый 2 3 6 2 7" xfId="2858"/>
    <cellStyle name="Финансовый 2 3 6 2 8" xfId="4502"/>
    <cellStyle name="Финансовый 2 3 6 3" xfId="397"/>
    <cellStyle name="Финансовый 2 3 6 3 2" xfId="2176"/>
    <cellStyle name="Финансовый 2 3 6 3 2 2" xfId="3821"/>
    <cellStyle name="Финансовый 2 3 6 3 2 3" xfId="5604"/>
    <cellStyle name="Финансовый 2 3 6 3 3" xfId="1210"/>
    <cellStyle name="Финансовый 2 3 6 3 4" xfId="817"/>
    <cellStyle name="Финансовый 2 3 6 3 5" xfId="2994"/>
    <cellStyle name="Финансовый 2 3 6 3 6" xfId="4638"/>
    <cellStyle name="Финансовый 2 3 6 4" xfId="1492"/>
    <cellStyle name="Финансовый 2 3 6 4 2" xfId="1920"/>
    <cellStyle name="Финансовый 2 3 6 4 2 2" xfId="3565"/>
    <cellStyle name="Финансовый 2 3 6 4 2 3" xfId="5348"/>
    <cellStyle name="Финансовый 2 3 6 4 3" xfId="4920"/>
    <cellStyle name="Финансовый 2 3 6 5" xfId="1796"/>
    <cellStyle name="Финансовый 2 3 6 5 2" xfId="3441"/>
    <cellStyle name="Финансовый 2 3 6 5 3" xfId="5224"/>
    <cellStyle name="Финансовый 2 3 6 6" xfId="2441"/>
    <cellStyle name="Финансовый 2 3 6 6 2" xfId="4086"/>
    <cellStyle name="Финансовый 2 3 6 6 3" xfId="5869"/>
    <cellStyle name="Финансовый 2 3 6 7" xfId="1668"/>
    <cellStyle name="Финансовый 2 3 6 7 2" xfId="3313"/>
    <cellStyle name="Финансовый 2 3 6 7 3" xfId="5096"/>
    <cellStyle name="Финансовый 2 3 6 8" xfId="945"/>
    <cellStyle name="Финансовый 2 3 6 9" xfId="533"/>
    <cellStyle name="Финансовый 2 3 7" xfId="76"/>
    <cellStyle name="Финансовый 2 3 7 10" xfId="2686"/>
    <cellStyle name="Финансовый 2 3 7 11" xfId="4330"/>
    <cellStyle name="Финансовый 2 3 7 2" xfId="212"/>
    <cellStyle name="Финансовый 2 3 7 2 2" xfId="1310"/>
    <cellStyle name="Финансовый 2 3 7 2 2 2" xfId="2268"/>
    <cellStyle name="Финансовый 2 3 7 2 2 2 2" xfId="3913"/>
    <cellStyle name="Финансовый 2 3 7 2 2 2 3" xfId="5696"/>
    <cellStyle name="Финансовый 2 3 7 2 2 3" xfId="3094"/>
    <cellStyle name="Финансовый 2 3 7 2 2 4" xfId="4738"/>
    <cellStyle name="Финансовый 2 3 7 2 3" xfId="2012"/>
    <cellStyle name="Финансовый 2 3 7 2 3 2" xfId="3657"/>
    <cellStyle name="Финансовый 2 3 7 2 3 3" xfId="5440"/>
    <cellStyle name="Финансовый 2 3 7 2 4" xfId="2541"/>
    <cellStyle name="Финансовый 2 3 7 2 4 2" xfId="4186"/>
    <cellStyle name="Финансовый 2 3 7 2 4 3" xfId="5969"/>
    <cellStyle name="Финансовый 2 3 7 2 5" xfId="1045"/>
    <cellStyle name="Финансовый 2 3 7 2 6" xfId="633"/>
    <cellStyle name="Финансовый 2 3 7 2 7" xfId="2822"/>
    <cellStyle name="Финансовый 2 3 7 2 8" xfId="4466"/>
    <cellStyle name="Финансовый 2 3 7 3" xfId="361"/>
    <cellStyle name="Финансовый 2 3 7 3 2" xfId="2140"/>
    <cellStyle name="Финансовый 2 3 7 3 2 2" xfId="3785"/>
    <cellStyle name="Финансовый 2 3 7 3 2 3" xfId="5568"/>
    <cellStyle name="Финансовый 2 3 7 3 3" xfId="1174"/>
    <cellStyle name="Финансовый 2 3 7 3 4" xfId="781"/>
    <cellStyle name="Финансовый 2 3 7 3 5" xfId="2958"/>
    <cellStyle name="Финансовый 2 3 7 3 6" xfId="4602"/>
    <cellStyle name="Финансовый 2 3 7 4" xfId="1493"/>
    <cellStyle name="Финансовый 2 3 7 4 2" xfId="1884"/>
    <cellStyle name="Финансовый 2 3 7 4 2 2" xfId="3529"/>
    <cellStyle name="Финансовый 2 3 7 4 2 3" xfId="5312"/>
    <cellStyle name="Финансовый 2 3 7 4 3" xfId="4921"/>
    <cellStyle name="Финансовый 2 3 7 5" xfId="1760"/>
    <cellStyle name="Финансовый 2 3 7 5 2" xfId="3405"/>
    <cellStyle name="Финансовый 2 3 7 5 3" xfId="5188"/>
    <cellStyle name="Финансовый 2 3 7 6" xfId="2405"/>
    <cellStyle name="Финансовый 2 3 7 6 2" xfId="4050"/>
    <cellStyle name="Финансовый 2 3 7 6 3" xfId="5833"/>
    <cellStyle name="Финансовый 2 3 7 7" xfId="1632"/>
    <cellStyle name="Финансовый 2 3 7 7 2" xfId="3277"/>
    <cellStyle name="Финансовый 2 3 7 7 3" xfId="5060"/>
    <cellStyle name="Финансовый 2 3 7 8" xfId="909"/>
    <cellStyle name="Финансовый 2 3 7 9" xfId="497"/>
    <cellStyle name="Финансовый 2 3 8" xfId="54"/>
    <cellStyle name="Финансовый 2 3 8 10" xfId="2666"/>
    <cellStyle name="Финансовый 2 3 8 11" xfId="4309"/>
    <cellStyle name="Финансовый 2 3 8 2" xfId="192"/>
    <cellStyle name="Финансовый 2 3 8 2 2" xfId="1290"/>
    <cellStyle name="Финансовый 2 3 8 2 2 2" xfId="2256"/>
    <cellStyle name="Финансовый 2 3 8 2 2 2 2" xfId="3901"/>
    <cellStyle name="Финансовый 2 3 8 2 2 2 3" xfId="5684"/>
    <cellStyle name="Финансовый 2 3 8 2 2 3" xfId="3074"/>
    <cellStyle name="Финансовый 2 3 8 2 2 4" xfId="4718"/>
    <cellStyle name="Финансовый 2 3 8 2 3" xfId="2000"/>
    <cellStyle name="Финансовый 2 3 8 2 3 2" xfId="3645"/>
    <cellStyle name="Финансовый 2 3 8 2 3 3" xfId="5428"/>
    <cellStyle name="Финансовый 2 3 8 2 4" xfId="2521"/>
    <cellStyle name="Финансовый 2 3 8 2 4 2" xfId="4166"/>
    <cellStyle name="Финансовый 2 3 8 2 4 3" xfId="5949"/>
    <cellStyle name="Финансовый 2 3 8 2 5" xfId="1025"/>
    <cellStyle name="Финансовый 2 3 8 2 6" xfId="613"/>
    <cellStyle name="Финансовый 2 3 8 2 7" xfId="2802"/>
    <cellStyle name="Финансовый 2 3 8 2 8" xfId="4446"/>
    <cellStyle name="Финансовый 2 3 8 3" xfId="341"/>
    <cellStyle name="Финансовый 2 3 8 3 2" xfId="2128"/>
    <cellStyle name="Финансовый 2 3 8 3 2 2" xfId="3773"/>
    <cellStyle name="Финансовый 2 3 8 3 2 3" xfId="5556"/>
    <cellStyle name="Финансовый 2 3 8 3 3" xfId="1161"/>
    <cellStyle name="Финансовый 2 3 8 3 4" xfId="761"/>
    <cellStyle name="Финансовый 2 3 8 3 5" xfId="2938"/>
    <cellStyle name="Финансовый 2 3 8 3 6" xfId="4582"/>
    <cellStyle name="Финансовый 2 3 8 4" xfId="1494"/>
    <cellStyle name="Финансовый 2 3 8 4 2" xfId="1864"/>
    <cellStyle name="Финансовый 2 3 8 4 2 2" xfId="3509"/>
    <cellStyle name="Финансовый 2 3 8 4 2 3" xfId="5292"/>
    <cellStyle name="Финансовый 2 3 8 4 3" xfId="4922"/>
    <cellStyle name="Финансовый 2 3 8 5" xfId="1748"/>
    <cellStyle name="Финансовый 2 3 8 5 2" xfId="3393"/>
    <cellStyle name="Финансовый 2 3 8 5 3" xfId="5176"/>
    <cellStyle name="Финансовый 2 3 8 6" xfId="2384"/>
    <cellStyle name="Финансовый 2 3 8 6 2" xfId="4029"/>
    <cellStyle name="Финансовый 2 3 8 6 3" xfId="5812"/>
    <cellStyle name="Финансовый 2 3 8 7" xfId="1611"/>
    <cellStyle name="Финансовый 2 3 8 7 2" xfId="3256"/>
    <cellStyle name="Финансовый 2 3 8 7 3" xfId="5039"/>
    <cellStyle name="Финансовый 2 3 8 8" xfId="897"/>
    <cellStyle name="Финансовый 2 3 8 9" xfId="477"/>
    <cellStyle name="Финансовый 2 3 9" xfId="132"/>
    <cellStyle name="Финансовый 2 3 9 10" xfId="2742"/>
    <cellStyle name="Финансовый 2 3 9 11" xfId="4386"/>
    <cellStyle name="Финансовый 2 3 9 2" xfId="268"/>
    <cellStyle name="Финансовый 2 3 9 2 2" xfId="1366"/>
    <cellStyle name="Финансовый 2 3 9 2 2 2" xfId="2324"/>
    <cellStyle name="Финансовый 2 3 9 2 2 2 2" xfId="3969"/>
    <cellStyle name="Финансовый 2 3 9 2 2 2 3" xfId="5752"/>
    <cellStyle name="Финансовый 2 3 9 2 2 3" xfId="3150"/>
    <cellStyle name="Финансовый 2 3 9 2 2 4" xfId="4794"/>
    <cellStyle name="Финансовый 2 3 9 2 3" xfId="2068"/>
    <cellStyle name="Финансовый 2 3 9 2 3 2" xfId="3713"/>
    <cellStyle name="Финансовый 2 3 9 2 3 3" xfId="5496"/>
    <cellStyle name="Финансовый 2 3 9 2 4" xfId="2597"/>
    <cellStyle name="Финансовый 2 3 9 2 4 2" xfId="4242"/>
    <cellStyle name="Финансовый 2 3 9 2 4 3" xfId="6025"/>
    <cellStyle name="Финансовый 2 3 9 2 5" xfId="1101"/>
    <cellStyle name="Финансовый 2 3 9 2 6" xfId="689"/>
    <cellStyle name="Финансовый 2 3 9 2 7" xfId="2878"/>
    <cellStyle name="Финансовый 2 3 9 2 8" xfId="4522"/>
    <cellStyle name="Финансовый 2 3 9 3" xfId="417"/>
    <cellStyle name="Финансовый 2 3 9 3 2" xfId="2196"/>
    <cellStyle name="Финансовый 2 3 9 3 2 2" xfId="3841"/>
    <cellStyle name="Финансовый 2 3 9 3 2 3" xfId="5624"/>
    <cellStyle name="Финансовый 2 3 9 3 3" xfId="1230"/>
    <cellStyle name="Финансовый 2 3 9 3 4" xfId="837"/>
    <cellStyle name="Финансовый 2 3 9 3 5" xfId="3014"/>
    <cellStyle name="Финансовый 2 3 9 3 6" xfId="4658"/>
    <cellStyle name="Финансовый 2 3 9 4" xfId="1495"/>
    <cellStyle name="Финансовый 2 3 9 4 2" xfId="1940"/>
    <cellStyle name="Финансовый 2 3 9 4 2 2" xfId="3585"/>
    <cellStyle name="Финансовый 2 3 9 4 2 3" xfId="5368"/>
    <cellStyle name="Финансовый 2 3 9 4 3" xfId="4923"/>
    <cellStyle name="Финансовый 2 3 9 5" xfId="1816"/>
    <cellStyle name="Финансовый 2 3 9 5 2" xfId="3461"/>
    <cellStyle name="Финансовый 2 3 9 5 3" xfId="5244"/>
    <cellStyle name="Финансовый 2 3 9 6" xfId="2461"/>
    <cellStyle name="Финансовый 2 3 9 6 2" xfId="4106"/>
    <cellStyle name="Финансовый 2 3 9 6 3" xfId="5889"/>
    <cellStyle name="Финансовый 2 3 9 7" xfId="1688"/>
    <cellStyle name="Финансовый 2 3 9 7 2" xfId="3333"/>
    <cellStyle name="Финансовый 2 3 9 7 3" xfId="5116"/>
    <cellStyle name="Финансовый 2 3 9 8" xfId="965"/>
    <cellStyle name="Финансовый 2 3 9 9" xfId="553"/>
    <cellStyle name="Финансовый 2 4" xfId="8"/>
    <cellStyle name="Финансовый 2 4 10" xfId="282"/>
    <cellStyle name="Финансовый 2 4 10 2" xfId="2082"/>
    <cellStyle name="Финансовый 2 4 10 2 2" xfId="3727"/>
    <cellStyle name="Финансовый 2 4 10 2 3" xfId="5510"/>
    <cellStyle name="Финансовый 2 4 10 3" xfId="1380"/>
    <cellStyle name="Финансовый 2 4 10 4" xfId="703"/>
    <cellStyle name="Финансовый 2 4 10 5" xfId="3164"/>
    <cellStyle name="Финансовый 2 4 10 6" xfId="4808"/>
    <cellStyle name="Финансовый 2 4 11" xfId="295"/>
    <cellStyle name="Финансовый 2 4 11 2" xfId="1115"/>
    <cellStyle name="Финансовый 2 4 11 3" xfId="715"/>
    <cellStyle name="Финансовый 2 4 11 4" xfId="2892"/>
    <cellStyle name="Финансовый 2 4 11 5" xfId="4536"/>
    <cellStyle name="Финансовый 2 4 12" xfId="1497"/>
    <cellStyle name="Финансовый 2 4 12 2" xfId="1702"/>
    <cellStyle name="Финансовый 2 4 12 2 2" xfId="3347"/>
    <cellStyle name="Финансовый 2 4 12 2 3" xfId="5130"/>
    <cellStyle name="Финансовый 2 4 12 3" xfId="4925"/>
    <cellStyle name="Финансовый 2 4 13" xfId="2338"/>
    <cellStyle name="Финансовый 2 4 13 2" xfId="3983"/>
    <cellStyle name="Финансовый 2 4 13 3" xfId="5766"/>
    <cellStyle name="Финансовый 2 4 14" xfId="1565"/>
    <cellStyle name="Финансовый 2 4 14 2" xfId="3210"/>
    <cellStyle name="Финансовый 2 4 14 3" xfId="4993"/>
    <cellStyle name="Финансовый 2 4 15" xfId="851"/>
    <cellStyle name="Финансовый 2 4 16" xfId="431"/>
    <cellStyle name="Финансовый 2 4 17" xfId="2620"/>
    <cellStyle name="Финансовый 2 4 18" xfId="4263"/>
    <cellStyle name="Финансовый 2 4 2" xfId="44"/>
    <cellStyle name="Финансовый 2 4 2 10" xfId="467"/>
    <cellStyle name="Финансовый 2 4 2 11" xfId="2656"/>
    <cellStyle name="Финансовый 2 4 2 12" xfId="4299"/>
    <cellStyle name="Финансовый 2 4 2 2" xfId="102"/>
    <cellStyle name="Финансовый 2 4 2 2 10" xfId="2712"/>
    <cellStyle name="Финансовый 2 4 2 2 11" xfId="4356"/>
    <cellStyle name="Финансовый 2 4 2 2 2" xfId="238"/>
    <cellStyle name="Финансовый 2 4 2 2 2 2" xfId="1336"/>
    <cellStyle name="Финансовый 2 4 2 2 2 2 2" xfId="2294"/>
    <cellStyle name="Финансовый 2 4 2 2 2 2 2 2" xfId="3939"/>
    <cellStyle name="Финансовый 2 4 2 2 2 2 2 3" xfId="5722"/>
    <cellStyle name="Финансовый 2 4 2 2 2 2 3" xfId="3120"/>
    <cellStyle name="Финансовый 2 4 2 2 2 2 4" xfId="4764"/>
    <cellStyle name="Финансовый 2 4 2 2 2 3" xfId="2038"/>
    <cellStyle name="Финансовый 2 4 2 2 2 3 2" xfId="3683"/>
    <cellStyle name="Финансовый 2 4 2 2 2 3 3" xfId="5466"/>
    <cellStyle name="Финансовый 2 4 2 2 2 4" xfId="2567"/>
    <cellStyle name="Финансовый 2 4 2 2 2 4 2" xfId="4212"/>
    <cellStyle name="Финансовый 2 4 2 2 2 4 3" xfId="5995"/>
    <cellStyle name="Финансовый 2 4 2 2 2 5" xfId="1071"/>
    <cellStyle name="Финансовый 2 4 2 2 2 6" xfId="659"/>
    <cellStyle name="Финансовый 2 4 2 2 2 7" xfId="2848"/>
    <cellStyle name="Финансовый 2 4 2 2 2 8" xfId="4492"/>
    <cellStyle name="Финансовый 2 4 2 2 3" xfId="387"/>
    <cellStyle name="Финансовый 2 4 2 2 3 2" xfId="2166"/>
    <cellStyle name="Финансовый 2 4 2 2 3 2 2" xfId="3811"/>
    <cellStyle name="Финансовый 2 4 2 2 3 2 3" xfId="5594"/>
    <cellStyle name="Финансовый 2 4 2 2 3 3" xfId="1200"/>
    <cellStyle name="Финансовый 2 4 2 2 3 4" xfId="807"/>
    <cellStyle name="Финансовый 2 4 2 2 3 5" xfId="2984"/>
    <cellStyle name="Финансовый 2 4 2 2 3 6" xfId="4628"/>
    <cellStyle name="Финансовый 2 4 2 2 4" xfId="1499"/>
    <cellStyle name="Финансовый 2 4 2 2 4 2" xfId="1910"/>
    <cellStyle name="Финансовый 2 4 2 2 4 2 2" xfId="3555"/>
    <cellStyle name="Финансовый 2 4 2 2 4 2 3" xfId="5338"/>
    <cellStyle name="Финансовый 2 4 2 2 4 3" xfId="4927"/>
    <cellStyle name="Финансовый 2 4 2 2 5" xfId="1786"/>
    <cellStyle name="Финансовый 2 4 2 2 5 2" xfId="3431"/>
    <cellStyle name="Финансовый 2 4 2 2 5 3" xfId="5214"/>
    <cellStyle name="Финансовый 2 4 2 2 6" xfId="2431"/>
    <cellStyle name="Финансовый 2 4 2 2 6 2" xfId="4076"/>
    <cellStyle name="Финансовый 2 4 2 2 6 3" xfId="5859"/>
    <cellStyle name="Финансовый 2 4 2 2 7" xfId="1658"/>
    <cellStyle name="Финансовый 2 4 2 2 7 2" xfId="3303"/>
    <cellStyle name="Финансовый 2 4 2 2 7 3" xfId="5086"/>
    <cellStyle name="Финансовый 2 4 2 2 8" xfId="935"/>
    <cellStyle name="Финансовый 2 4 2 2 9" xfId="523"/>
    <cellStyle name="Финансовый 2 4 2 3" xfId="182"/>
    <cellStyle name="Финансовый 2 4 2 3 2" xfId="1280"/>
    <cellStyle name="Финансовый 2 4 2 3 2 2" xfId="2246"/>
    <cellStyle name="Финансовый 2 4 2 3 2 2 2" xfId="3891"/>
    <cellStyle name="Финансовый 2 4 2 3 2 2 3" xfId="5674"/>
    <cellStyle name="Финансовый 2 4 2 3 2 3" xfId="3064"/>
    <cellStyle name="Финансовый 2 4 2 3 2 4" xfId="4708"/>
    <cellStyle name="Финансовый 2 4 2 3 3" xfId="1990"/>
    <cellStyle name="Финансовый 2 4 2 3 3 2" xfId="3635"/>
    <cellStyle name="Финансовый 2 4 2 3 3 3" xfId="5418"/>
    <cellStyle name="Финансовый 2 4 2 3 4" xfId="2511"/>
    <cellStyle name="Финансовый 2 4 2 3 4 2" xfId="4156"/>
    <cellStyle name="Финансовый 2 4 2 3 4 3" xfId="5939"/>
    <cellStyle name="Финансовый 2 4 2 3 5" xfId="1015"/>
    <cellStyle name="Финансовый 2 4 2 3 6" xfId="603"/>
    <cellStyle name="Финансовый 2 4 2 3 7" xfId="2792"/>
    <cellStyle name="Финансовый 2 4 2 3 8" xfId="4436"/>
    <cellStyle name="Финансовый 2 4 2 4" xfId="331"/>
    <cellStyle name="Финансовый 2 4 2 4 2" xfId="2118"/>
    <cellStyle name="Финансовый 2 4 2 4 2 2" xfId="3763"/>
    <cellStyle name="Финансовый 2 4 2 4 2 3" xfId="5546"/>
    <cellStyle name="Финансовый 2 4 2 4 3" xfId="1151"/>
    <cellStyle name="Финансовый 2 4 2 4 4" xfId="751"/>
    <cellStyle name="Финансовый 2 4 2 4 5" xfId="2928"/>
    <cellStyle name="Финансовый 2 4 2 4 6" xfId="4572"/>
    <cellStyle name="Финансовый 2 4 2 5" xfId="1498"/>
    <cellStyle name="Финансовый 2 4 2 5 2" xfId="1854"/>
    <cellStyle name="Финансовый 2 4 2 5 2 2" xfId="3499"/>
    <cellStyle name="Финансовый 2 4 2 5 2 3" xfId="5282"/>
    <cellStyle name="Финансовый 2 4 2 5 3" xfId="4926"/>
    <cellStyle name="Финансовый 2 4 2 6" xfId="1738"/>
    <cellStyle name="Финансовый 2 4 2 6 2" xfId="3383"/>
    <cellStyle name="Финансовый 2 4 2 6 3" xfId="5166"/>
    <cellStyle name="Финансовый 2 4 2 7" xfId="2374"/>
    <cellStyle name="Финансовый 2 4 2 7 2" xfId="4019"/>
    <cellStyle name="Финансовый 2 4 2 7 3" xfId="5802"/>
    <cellStyle name="Финансовый 2 4 2 8" xfId="1601"/>
    <cellStyle name="Финансовый 2 4 2 8 2" xfId="3246"/>
    <cellStyle name="Финансовый 2 4 2 8 3" xfId="5029"/>
    <cellStyle name="Финансовый 2 4 2 9" xfId="887"/>
    <cellStyle name="Финансовый 2 4 3" xfId="114"/>
    <cellStyle name="Финансовый 2 4 3 10" xfId="2724"/>
    <cellStyle name="Финансовый 2 4 3 11" xfId="4368"/>
    <cellStyle name="Финансовый 2 4 3 2" xfId="250"/>
    <cellStyle name="Финансовый 2 4 3 2 2" xfId="1348"/>
    <cellStyle name="Финансовый 2 4 3 2 2 2" xfId="2306"/>
    <cellStyle name="Финансовый 2 4 3 2 2 2 2" xfId="3951"/>
    <cellStyle name="Финансовый 2 4 3 2 2 2 3" xfId="5734"/>
    <cellStyle name="Финансовый 2 4 3 2 2 3" xfId="3132"/>
    <cellStyle name="Финансовый 2 4 3 2 2 4" xfId="4776"/>
    <cellStyle name="Финансовый 2 4 3 2 3" xfId="2050"/>
    <cellStyle name="Финансовый 2 4 3 2 3 2" xfId="3695"/>
    <cellStyle name="Финансовый 2 4 3 2 3 3" xfId="5478"/>
    <cellStyle name="Финансовый 2 4 3 2 4" xfId="2579"/>
    <cellStyle name="Финансовый 2 4 3 2 4 2" xfId="4224"/>
    <cellStyle name="Финансовый 2 4 3 2 4 3" xfId="6007"/>
    <cellStyle name="Финансовый 2 4 3 2 5" xfId="1083"/>
    <cellStyle name="Финансовый 2 4 3 2 6" xfId="671"/>
    <cellStyle name="Финансовый 2 4 3 2 7" xfId="2860"/>
    <cellStyle name="Финансовый 2 4 3 2 8" xfId="4504"/>
    <cellStyle name="Финансовый 2 4 3 3" xfId="399"/>
    <cellStyle name="Финансовый 2 4 3 3 2" xfId="2178"/>
    <cellStyle name="Финансовый 2 4 3 3 2 2" xfId="3823"/>
    <cellStyle name="Финансовый 2 4 3 3 2 3" xfId="5606"/>
    <cellStyle name="Финансовый 2 4 3 3 3" xfId="1212"/>
    <cellStyle name="Финансовый 2 4 3 3 4" xfId="819"/>
    <cellStyle name="Финансовый 2 4 3 3 5" xfId="2996"/>
    <cellStyle name="Финансовый 2 4 3 3 6" xfId="4640"/>
    <cellStyle name="Финансовый 2 4 3 4" xfId="1500"/>
    <cellStyle name="Финансовый 2 4 3 4 2" xfId="1922"/>
    <cellStyle name="Финансовый 2 4 3 4 2 2" xfId="3567"/>
    <cellStyle name="Финансовый 2 4 3 4 2 3" xfId="5350"/>
    <cellStyle name="Финансовый 2 4 3 4 3" xfId="4928"/>
    <cellStyle name="Финансовый 2 4 3 5" xfId="1798"/>
    <cellStyle name="Финансовый 2 4 3 5 2" xfId="3443"/>
    <cellStyle name="Финансовый 2 4 3 5 3" xfId="5226"/>
    <cellStyle name="Финансовый 2 4 3 6" xfId="2443"/>
    <cellStyle name="Финансовый 2 4 3 6 2" xfId="4088"/>
    <cellStyle name="Финансовый 2 4 3 6 3" xfId="5871"/>
    <cellStyle name="Финансовый 2 4 3 7" xfId="1670"/>
    <cellStyle name="Финансовый 2 4 3 7 2" xfId="3315"/>
    <cellStyle name="Финансовый 2 4 3 7 3" xfId="5098"/>
    <cellStyle name="Финансовый 2 4 3 8" xfId="947"/>
    <cellStyle name="Финансовый 2 4 3 9" xfId="535"/>
    <cellStyle name="Финансовый 2 4 4" xfId="78"/>
    <cellStyle name="Финансовый 2 4 4 10" xfId="2688"/>
    <cellStyle name="Финансовый 2 4 4 11" xfId="4332"/>
    <cellStyle name="Финансовый 2 4 4 2" xfId="214"/>
    <cellStyle name="Финансовый 2 4 4 2 2" xfId="1312"/>
    <cellStyle name="Финансовый 2 4 4 2 2 2" xfId="2270"/>
    <cellStyle name="Финансовый 2 4 4 2 2 2 2" xfId="3915"/>
    <cellStyle name="Финансовый 2 4 4 2 2 2 3" xfId="5698"/>
    <cellStyle name="Финансовый 2 4 4 2 2 3" xfId="3096"/>
    <cellStyle name="Финансовый 2 4 4 2 2 4" xfId="4740"/>
    <cellStyle name="Финансовый 2 4 4 2 3" xfId="2014"/>
    <cellStyle name="Финансовый 2 4 4 2 3 2" xfId="3659"/>
    <cellStyle name="Финансовый 2 4 4 2 3 3" xfId="5442"/>
    <cellStyle name="Финансовый 2 4 4 2 4" xfId="2543"/>
    <cellStyle name="Финансовый 2 4 4 2 4 2" xfId="4188"/>
    <cellStyle name="Финансовый 2 4 4 2 4 3" xfId="5971"/>
    <cellStyle name="Финансовый 2 4 4 2 5" xfId="1047"/>
    <cellStyle name="Финансовый 2 4 4 2 6" xfId="635"/>
    <cellStyle name="Финансовый 2 4 4 2 7" xfId="2824"/>
    <cellStyle name="Финансовый 2 4 4 2 8" xfId="4468"/>
    <cellStyle name="Финансовый 2 4 4 3" xfId="363"/>
    <cellStyle name="Финансовый 2 4 4 3 2" xfId="2142"/>
    <cellStyle name="Финансовый 2 4 4 3 2 2" xfId="3787"/>
    <cellStyle name="Финансовый 2 4 4 3 2 3" xfId="5570"/>
    <cellStyle name="Финансовый 2 4 4 3 3" xfId="1176"/>
    <cellStyle name="Финансовый 2 4 4 3 4" xfId="783"/>
    <cellStyle name="Финансовый 2 4 4 3 5" xfId="2960"/>
    <cellStyle name="Финансовый 2 4 4 3 6" xfId="4604"/>
    <cellStyle name="Финансовый 2 4 4 4" xfId="1501"/>
    <cellStyle name="Финансовый 2 4 4 4 2" xfId="1886"/>
    <cellStyle name="Финансовый 2 4 4 4 2 2" xfId="3531"/>
    <cellStyle name="Финансовый 2 4 4 4 2 3" xfId="5314"/>
    <cellStyle name="Финансовый 2 4 4 4 3" xfId="4929"/>
    <cellStyle name="Финансовый 2 4 4 5" xfId="1762"/>
    <cellStyle name="Финансовый 2 4 4 5 2" xfId="3407"/>
    <cellStyle name="Финансовый 2 4 4 5 3" xfId="5190"/>
    <cellStyle name="Финансовый 2 4 4 6" xfId="2407"/>
    <cellStyle name="Финансовый 2 4 4 6 2" xfId="4052"/>
    <cellStyle name="Финансовый 2 4 4 6 3" xfId="5835"/>
    <cellStyle name="Финансовый 2 4 4 7" xfId="1634"/>
    <cellStyle name="Финансовый 2 4 4 7 2" xfId="3279"/>
    <cellStyle name="Финансовый 2 4 4 7 3" xfId="5062"/>
    <cellStyle name="Финансовый 2 4 4 8" xfId="911"/>
    <cellStyle name="Финансовый 2 4 4 9" xfId="499"/>
    <cellStyle name="Финансовый 2 4 5" xfId="56"/>
    <cellStyle name="Финансовый 2 4 5 10" xfId="2668"/>
    <cellStyle name="Финансовый 2 4 5 11" xfId="4311"/>
    <cellStyle name="Финансовый 2 4 5 2" xfId="194"/>
    <cellStyle name="Финансовый 2 4 5 2 2" xfId="1292"/>
    <cellStyle name="Финансовый 2 4 5 2 2 2" xfId="2258"/>
    <cellStyle name="Финансовый 2 4 5 2 2 2 2" xfId="3903"/>
    <cellStyle name="Финансовый 2 4 5 2 2 2 3" xfId="5686"/>
    <cellStyle name="Финансовый 2 4 5 2 2 3" xfId="3076"/>
    <cellStyle name="Финансовый 2 4 5 2 2 4" xfId="4720"/>
    <cellStyle name="Финансовый 2 4 5 2 3" xfId="2002"/>
    <cellStyle name="Финансовый 2 4 5 2 3 2" xfId="3647"/>
    <cellStyle name="Финансовый 2 4 5 2 3 3" xfId="5430"/>
    <cellStyle name="Финансовый 2 4 5 2 4" xfId="2523"/>
    <cellStyle name="Финансовый 2 4 5 2 4 2" xfId="4168"/>
    <cellStyle name="Финансовый 2 4 5 2 4 3" xfId="5951"/>
    <cellStyle name="Финансовый 2 4 5 2 5" xfId="1027"/>
    <cellStyle name="Финансовый 2 4 5 2 6" xfId="615"/>
    <cellStyle name="Финансовый 2 4 5 2 7" xfId="2804"/>
    <cellStyle name="Финансовый 2 4 5 2 8" xfId="4448"/>
    <cellStyle name="Финансовый 2 4 5 3" xfId="343"/>
    <cellStyle name="Финансовый 2 4 5 3 2" xfId="2130"/>
    <cellStyle name="Финансовый 2 4 5 3 2 2" xfId="3775"/>
    <cellStyle name="Финансовый 2 4 5 3 2 3" xfId="5558"/>
    <cellStyle name="Финансовый 2 4 5 3 3" xfId="1163"/>
    <cellStyle name="Финансовый 2 4 5 3 4" xfId="763"/>
    <cellStyle name="Финансовый 2 4 5 3 5" xfId="2940"/>
    <cellStyle name="Финансовый 2 4 5 3 6" xfId="4584"/>
    <cellStyle name="Финансовый 2 4 5 4" xfId="1502"/>
    <cellStyle name="Финансовый 2 4 5 4 2" xfId="1866"/>
    <cellStyle name="Финансовый 2 4 5 4 2 2" xfId="3511"/>
    <cellStyle name="Финансовый 2 4 5 4 2 3" xfId="5294"/>
    <cellStyle name="Финансовый 2 4 5 4 3" xfId="4930"/>
    <cellStyle name="Финансовый 2 4 5 5" xfId="1750"/>
    <cellStyle name="Финансовый 2 4 5 5 2" xfId="3395"/>
    <cellStyle name="Финансовый 2 4 5 5 3" xfId="5178"/>
    <cellStyle name="Финансовый 2 4 5 6" xfId="2386"/>
    <cellStyle name="Финансовый 2 4 5 6 2" xfId="4031"/>
    <cellStyle name="Финансовый 2 4 5 6 3" xfId="5814"/>
    <cellStyle name="Финансовый 2 4 5 7" xfId="1613"/>
    <cellStyle name="Финансовый 2 4 5 7 2" xfId="3258"/>
    <cellStyle name="Финансовый 2 4 5 7 3" xfId="5041"/>
    <cellStyle name="Финансовый 2 4 5 8" xfId="899"/>
    <cellStyle name="Финансовый 2 4 5 9" xfId="479"/>
    <cellStyle name="Финансовый 2 4 6" xfId="134"/>
    <cellStyle name="Финансовый 2 4 6 10" xfId="2744"/>
    <cellStyle name="Финансовый 2 4 6 11" xfId="4388"/>
    <cellStyle name="Финансовый 2 4 6 2" xfId="270"/>
    <cellStyle name="Финансовый 2 4 6 2 2" xfId="1368"/>
    <cellStyle name="Финансовый 2 4 6 2 2 2" xfId="2326"/>
    <cellStyle name="Финансовый 2 4 6 2 2 2 2" xfId="3971"/>
    <cellStyle name="Финансовый 2 4 6 2 2 2 3" xfId="5754"/>
    <cellStyle name="Финансовый 2 4 6 2 2 3" xfId="3152"/>
    <cellStyle name="Финансовый 2 4 6 2 2 4" xfId="4796"/>
    <cellStyle name="Финансовый 2 4 6 2 3" xfId="2070"/>
    <cellStyle name="Финансовый 2 4 6 2 3 2" xfId="3715"/>
    <cellStyle name="Финансовый 2 4 6 2 3 3" xfId="5498"/>
    <cellStyle name="Финансовый 2 4 6 2 4" xfId="2599"/>
    <cellStyle name="Финансовый 2 4 6 2 4 2" xfId="4244"/>
    <cellStyle name="Финансовый 2 4 6 2 4 3" xfId="6027"/>
    <cellStyle name="Финансовый 2 4 6 2 5" xfId="1103"/>
    <cellStyle name="Финансовый 2 4 6 2 6" xfId="691"/>
    <cellStyle name="Финансовый 2 4 6 2 7" xfId="2880"/>
    <cellStyle name="Финансовый 2 4 6 2 8" xfId="4524"/>
    <cellStyle name="Финансовый 2 4 6 3" xfId="419"/>
    <cellStyle name="Финансовый 2 4 6 3 2" xfId="2198"/>
    <cellStyle name="Финансовый 2 4 6 3 2 2" xfId="3843"/>
    <cellStyle name="Финансовый 2 4 6 3 2 3" xfId="5626"/>
    <cellStyle name="Финансовый 2 4 6 3 3" xfId="1232"/>
    <cellStyle name="Финансовый 2 4 6 3 4" xfId="839"/>
    <cellStyle name="Финансовый 2 4 6 3 5" xfId="3016"/>
    <cellStyle name="Финансовый 2 4 6 3 6" xfId="4660"/>
    <cellStyle name="Финансовый 2 4 6 4" xfId="1503"/>
    <cellStyle name="Финансовый 2 4 6 4 2" xfId="1942"/>
    <cellStyle name="Финансовый 2 4 6 4 2 2" xfId="3587"/>
    <cellStyle name="Финансовый 2 4 6 4 2 3" xfId="5370"/>
    <cellStyle name="Финансовый 2 4 6 4 3" xfId="4931"/>
    <cellStyle name="Финансовый 2 4 6 5" xfId="1818"/>
    <cellStyle name="Финансовый 2 4 6 5 2" xfId="3463"/>
    <cellStyle name="Финансовый 2 4 6 5 3" xfId="5246"/>
    <cellStyle name="Финансовый 2 4 6 6" xfId="2463"/>
    <cellStyle name="Финансовый 2 4 6 6 2" xfId="4108"/>
    <cellStyle name="Финансовый 2 4 6 6 3" xfId="5891"/>
    <cellStyle name="Финансовый 2 4 6 7" xfId="1690"/>
    <cellStyle name="Финансовый 2 4 6 7 2" xfId="3335"/>
    <cellStyle name="Финансовый 2 4 6 7 3" xfId="5118"/>
    <cellStyle name="Финансовый 2 4 6 8" xfId="967"/>
    <cellStyle name="Финансовый 2 4 6 9" xfId="555"/>
    <cellStyle name="Финансовый 2 4 7" xfId="32"/>
    <cellStyle name="Финансовый 2 4 7 10" xfId="2644"/>
    <cellStyle name="Финансовый 2 4 7 11" xfId="4287"/>
    <cellStyle name="Финансовый 2 4 7 2" xfId="170"/>
    <cellStyle name="Финансовый 2 4 7 2 2" xfId="1268"/>
    <cellStyle name="Финансовый 2 4 7 2 2 2" xfId="2234"/>
    <cellStyle name="Финансовый 2 4 7 2 2 2 2" xfId="3879"/>
    <cellStyle name="Финансовый 2 4 7 2 2 2 3" xfId="5662"/>
    <cellStyle name="Финансовый 2 4 7 2 2 3" xfId="3052"/>
    <cellStyle name="Финансовый 2 4 7 2 2 4" xfId="4696"/>
    <cellStyle name="Финансовый 2 4 7 2 3" xfId="1978"/>
    <cellStyle name="Финансовый 2 4 7 2 3 2" xfId="3623"/>
    <cellStyle name="Финансовый 2 4 7 2 3 3" xfId="5406"/>
    <cellStyle name="Финансовый 2 4 7 2 4" xfId="2499"/>
    <cellStyle name="Финансовый 2 4 7 2 4 2" xfId="4144"/>
    <cellStyle name="Финансовый 2 4 7 2 4 3" xfId="5927"/>
    <cellStyle name="Финансовый 2 4 7 2 5" xfId="1003"/>
    <cellStyle name="Финансовый 2 4 7 2 6" xfId="591"/>
    <cellStyle name="Финансовый 2 4 7 2 7" xfId="2780"/>
    <cellStyle name="Финансовый 2 4 7 2 8" xfId="4424"/>
    <cellStyle name="Финансовый 2 4 7 3" xfId="319"/>
    <cellStyle name="Финансовый 2 4 7 3 2" xfId="2106"/>
    <cellStyle name="Финансовый 2 4 7 3 2 2" xfId="3751"/>
    <cellStyle name="Финансовый 2 4 7 3 2 3" xfId="5534"/>
    <cellStyle name="Финансовый 2 4 7 3 3" xfId="1139"/>
    <cellStyle name="Финансовый 2 4 7 3 4" xfId="739"/>
    <cellStyle name="Финансовый 2 4 7 3 5" xfId="2916"/>
    <cellStyle name="Финансовый 2 4 7 3 6" xfId="4560"/>
    <cellStyle name="Финансовый 2 4 7 4" xfId="1504"/>
    <cellStyle name="Финансовый 2 4 7 4 2" xfId="1842"/>
    <cellStyle name="Финансовый 2 4 7 4 2 2" xfId="3487"/>
    <cellStyle name="Финансовый 2 4 7 4 2 3" xfId="5270"/>
    <cellStyle name="Финансовый 2 4 7 4 3" xfId="4932"/>
    <cellStyle name="Финансовый 2 4 7 5" xfId="1726"/>
    <cellStyle name="Финансовый 2 4 7 5 2" xfId="3371"/>
    <cellStyle name="Финансовый 2 4 7 5 3" xfId="5154"/>
    <cellStyle name="Финансовый 2 4 7 6" xfId="2362"/>
    <cellStyle name="Финансовый 2 4 7 6 2" xfId="4007"/>
    <cellStyle name="Финансовый 2 4 7 6 3" xfId="5790"/>
    <cellStyle name="Финансовый 2 4 7 7" xfId="1589"/>
    <cellStyle name="Финансовый 2 4 7 7 2" xfId="3234"/>
    <cellStyle name="Финансовый 2 4 7 7 3" xfId="5017"/>
    <cellStyle name="Финансовый 2 4 7 8" xfId="875"/>
    <cellStyle name="Финансовый 2 4 7 9" xfId="455"/>
    <cellStyle name="Финансовый 2 4 8" xfId="20"/>
    <cellStyle name="Финансовый 2 4 8 10" xfId="2632"/>
    <cellStyle name="Финансовый 2 4 8 11" xfId="4275"/>
    <cellStyle name="Финансовый 2 4 8 2" xfId="158"/>
    <cellStyle name="Финансовый 2 4 8 2 2" xfId="1256"/>
    <cellStyle name="Финансовый 2 4 8 2 2 2" xfId="2222"/>
    <cellStyle name="Финансовый 2 4 8 2 2 2 2" xfId="3867"/>
    <cellStyle name="Финансовый 2 4 8 2 2 2 3" xfId="5650"/>
    <cellStyle name="Финансовый 2 4 8 2 2 3" xfId="3040"/>
    <cellStyle name="Финансовый 2 4 8 2 2 4" xfId="4684"/>
    <cellStyle name="Финансовый 2 4 8 2 3" xfId="1966"/>
    <cellStyle name="Финансовый 2 4 8 2 3 2" xfId="3611"/>
    <cellStyle name="Финансовый 2 4 8 2 3 3" xfId="5394"/>
    <cellStyle name="Финансовый 2 4 8 2 4" xfId="2487"/>
    <cellStyle name="Финансовый 2 4 8 2 4 2" xfId="4132"/>
    <cellStyle name="Финансовый 2 4 8 2 4 3" xfId="5915"/>
    <cellStyle name="Финансовый 2 4 8 2 5" xfId="991"/>
    <cellStyle name="Финансовый 2 4 8 2 6" xfId="579"/>
    <cellStyle name="Финансовый 2 4 8 2 7" xfId="2768"/>
    <cellStyle name="Финансовый 2 4 8 2 8" xfId="4412"/>
    <cellStyle name="Финансовый 2 4 8 3" xfId="307"/>
    <cellStyle name="Финансовый 2 4 8 3 2" xfId="2094"/>
    <cellStyle name="Финансовый 2 4 8 3 2 2" xfId="3739"/>
    <cellStyle name="Финансовый 2 4 8 3 2 3" xfId="5522"/>
    <cellStyle name="Финансовый 2 4 8 3 3" xfId="1127"/>
    <cellStyle name="Финансовый 2 4 8 3 4" xfId="727"/>
    <cellStyle name="Финансовый 2 4 8 3 5" xfId="2904"/>
    <cellStyle name="Финансовый 2 4 8 3 6" xfId="4548"/>
    <cellStyle name="Финансовый 2 4 8 4" xfId="1505"/>
    <cellStyle name="Финансовый 2 4 8 4 2" xfId="1830"/>
    <cellStyle name="Финансовый 2 4 8 4 2 2" xfId="3475"/>
    <cellStyle name="Финансовый 2 4 8 4 2 3" xfId="5258"/>
    <cellStyle name="Финансовый 2 4 8 4 3" xfId="4933"/>
    <cellStyle name="Финансовый 2 4 8 5" xfId="1714"/>
    <cellStyle name="Финансовый 2 4 8 5 2" xfId="3359"/>
    <cellStyle name="Финансовый 2 4 8 5 3" xfId="5142"/>
    <cellStyle name="Финансовый 2 4 8 6" xfId="2350"/>
    <cellStyle name="Финансовый 2 4 8 6 2" xfId="3995"/>
    <cellStyle name="Финансовый 2 4 8 6 3" xfId="5778"/>
    <cellStyle name="Финансовый 2 4 8 7" xfId="1577"/>
    <cellStyle name="Финансовый 2 4 8 7 2" xfId="3222"/>
    <cellStyle name="Финансовый 2 4 8 7 3" xfId="5005"/>
    <cellStyle name="Финансовый 2 4 8 8" xfId="863"/>
    <cellStyle name="Финансовый 2 4 8 9" xfId="443"/>
    <cellStyle name="Финансовый 2 4 9" xfId="146"/>
    <cellStyle name="Финансовый 2 4 9 2" xfId="1244"/>
    <cellStyle name="Финансовый 2 4 9 2 2" xfId="2210"/>
    <cellStyle name="Финансовый 2 4 9 2 2 2" xfId="3855"/>
    <cellStyle name="Финансовый 2 4 9 2 2 3" xfId="5638"/>
    <cellStyle name="Финансовый 2 4 9 2 3" xfId="3028"/>
    <cellStyle name="Финансовый 2 4 9 2 4" xfId="4672"/>
    <cellStyle name="Финансовый 2 4 9 3" xfId="1954"/>
    <cellStyle name="Финансовый 2 4 9 3 2" xfId="3599"/>
    <cellStyle name="Финансовый 2 4 9 3 3" xfId="5382"/>
    <cellStyle name="Финансовый 2 4 9 4" xfId="2475"/>
    <cellStyle name="Финансовый 2 4 9 4 2" xfId="4120"/>
    <cellStyle name="Финансовый 2 4 9 4 3" xfId="5903"/>
    <cellStyle name="Финансовый 2 4 9 5" xfId="979"/>
    <cellStyle name="Финансовый 2 4 9 6" xfId="567"/>
    <cellStyle name="Финансовый 2 4 9 7" xfId="2756"/>
    <cellStyle name="Финансовый 2 4 9 8" xfId="4400"/>
    <cellStyle name="Финансовый 2 5" xfId="38"/>
    <cellStyle name="Финансовый 2 5 10" xfId="881"/>
    <cellStyle name="Финансовый 2 5 11" xfId="461"/>
    <cellStyle name="Финансовый 2 5 12" xfId="2650"/>
    <cellStyle name="Финансовый 2 5 13" xfId="4293"/>
    <cellStyle name="Финансовый 2 5 2" xfId="120"/>
    <cellStyle name="Финансовый 2 5 2 10" xfId="2730"/>
    <cellStyle name="Финансовый 2 5 2 11" xfId="4374"/>
    <cellStyle name="Финансовый 2 5 2 2" xfId="256"/>
    <cellStyle name="Финансовый 2 5 2 2 2" xfId="1354"/>
    <cellStyle name="Финансовый 2 5 2 2 2 2" xfId="2312"/>
    <cellStyle name="Финансовый 2 5 2 2 2 2 2" xfId="3957"/>
    <cellStyle name="Финансовый 2 5 2 2 2 2 3" xfId="5740"/>
    <cellStyle name="Финансовый 2 5 2 2 2 3" xfId="3138"/>
    <cellStyle name="Финансовый 2 5 2 2 2 4" xfId="4782"/>
    <cellStyle name="Финансовый 2 5 2 2 3" xfId="2056"/>
    <cellStyle name="Финансовый 2 5 2 2 3 2" xfId="3701"/>
    <cellStyle name="Финансовый 2 5 2 2 3 3" xfId="5484"/>
    <cellStyle name="Финансовый 2 5 2 2 4" xfId="2585"/>
    <cellStyle name="Финансовый 2 5 2 2 4 2" xfId="4230"/>
    <cellStyle name="Финансовый 2 5 2 2 4 3" xfId="6013"/>
    <cellStyle name="Финансовый 2 5 2 2 5" xfId="1089"/>
    <cellStyle name="Финансовый 2 5 2 2 6" xfId="677"/>
    <cellStyle name="Финансовый 2 5 2 2 7" xfId="2866"/>
    <cellStyle name="Финансовый 2 5 2 2 8" xfId="4510"/>
    <cellStyle name="Финансовый 2 5 2 3" xfId="405"/>
    <cellStyle name="Финансовый 2 5 2 3 2" xfId="2184"/>
    <cellStyle name="Финансовый 2 5 2 3 2 2" xfId="3829"/>
    <cellStyle name="Финансовый 2 5 2 3 2 3" xfId="5612"/>
    <cellStyle name="Финансовый 2 5 2 3 3" xfId="1218"/>
    <cellStyle name="Финансовый 2 5 2 3 4" xfId="825"/>
    <cellStyle name="Финансовый 2 5 2 3 5" xfId="3002"/>
    <cellStyle name="Финансовый 2 5 2 3 6" xfId="4646"/>
    <cellStyle name="Финансовый 2 5 2 4" xfId="1507"/>
    <cellStyle name="Финансовый 2 5 2 4 2" xfId="1928"/>
    <cellStyle name="Финансовый 2 5 2 4 2 2" xfId="3573"/>
    <cellStyle name="Финансовый 2 5 2 4 2 3" xfId="5356"/>
    <cellStyle name="Финансовый 2 5 2 4 3" xfId="4935"/>
    <cellStyle name="Финансовый 2 5 2 5" xfId="1804"/>
    <cellStyle name="Финансовый 2 5 2 5 2" xfId="3449"/>
    <cellStyle name="Финансовый 2 5 2 5 3" xfId="5232"/>
    <cellStyle name="Финансовый 2 5 2 6" xfId="2449"/>
    <cellStyle name="Финансовый 2 5 2 6 2" xfId="4094"/>
    <cellStyle name="Финансовый 2 5 2 6 3" xfId="5877"/>
    <cellStyle name="Финансовый 2 5 2 7" xfId="1676"/>
    <cellStyle name="Финансовый 2 5 2 7 2" xfId="3321"/>
    <cellStyle name="Финансовый 2 5 2 7 3" xfId="5104"/>
    <cellStyle name="Финансовый 2 5 2 8" xfId="953"/>
    <cellStyle name="Финансовый 2 5 2 9" xfId="541"/>
    <cellStyle name="Финансовый 2 5 3" xfId="84"/>
    <cellStyle name="Финансовый 2 5 3 10" xfId="2694"/>
    <cellStyle name="Финансовый 2 5 3 11" xfId="4338"/>
    <cellStyle name="Финансовый 2 5 3 2" xfId="220"/>
    <cellStyle name="Финансовый 2 5 3 2 2" xfId="1318"/>
    <cellStyle name="Финансовый 2 5 3 2 2 2" xfId="2276"/>
    <cellStyle name="Финансовый 2 5 3 2 2 2 2" xfId="3921"/>
    <cellStyle name="Финансовый 2 5 3 2 2 2 3" xfId="5704"/>
    <cellStyle name="Финансовый 2 5 3 2 2 3" xfId="3102"/>
    <cellStyle name="Финансовый 2 5 3 2 2 4" xfId="4746"/>
    <cellStyle name="Финансовый 2 5 3 2 3" xfId="2020"/>
    <cellStyle name="Финансовый 2 5 3 2 3 2" xfId="3665"/>
    <cellStyle name="Финансовый 2 5 3 2 3 3" xfId="5448"/>
    <cellStyle name="Финансовый 2 5 3 2 4" xfId="2549"/>
    <cellStyle name="Финансовый 2 5 3 2 4 2" xfId="4194"/>
    <cellStyle name="Финансовый 2 5 3 2 4 3" xfId="5977"/>
    <cellStyle name="Финансовый 2 5 3 2 5" xfId="1053"/>
    <cellStyle name="Финансовый 2 5 3 2 6" xfId="641"/>
    <cellStyle name="Финансовый 2 5 3 2 7" xfId="2830"/>
    <cellStyle name="Финансовый 2 5 3 2 8" xfId="4474"/>
    <cellStyle name="Финансовый 2 5 3 3" xfId="369"/>
    <cellStyle name="Финансовый 2 5 3 3 2" xfId="2148"/>
    <cellStyle name="Финансовый 2 5 3 3 2 2" xfId="3793"/>
    <cellStyle name="Финансовый 2 5 3 3 2 3" xfId="5576"/>
    <cellStyle name="Финансовый 2 5 3 3 3" xfId="1182"/>
    <cellStyle name="Финансовый 2 5 3 3 4" xfId="789"/>
    <cellStyle name="Финансовый 2 5 3 3 5" xfId="2966"/>
    <cellStyle name="Финансовый 2 5 3 3 6" xfId="4610"/>
    <cellStyle name="Финансовый 2 5 3 4" xfId="1437"/>
    <cellStyle name="Финансовый 2 5 3 4 2" xfId="1892"/>
    <cellStyle name="Финансовый 2 5 3 4 2 2" xfId="3537"/>
    <cellStyle name="Финансовый 2 5 3 4 2 3" xfId="5320"/>
    <cellStyle name="Финансовый 2 5 3 4 3" xfId="4865"/>
    <cellStyle name="Финансовый 2 5 3 5" xfId="1768"/>
    <cellStyle name="Финансовый 2 5 3 5 2" xfId="3413"/>
    <cellStyle name="Финансовый 2 5 3 5 3" xfId="5196"/>
    <cellStyle name="Финансовый 2 5 3 6" xfId="2413"/>
    <cellStyle name="Финансовый 2 5 3 6 2" xfId="4058"/>
    <cellStyle name="Финансовый 2 5 3 6 3" xfId="5841"/>
    <cellStyle name="Финансовый 2 5 3 7" xfId="1640"/>
    <cellStyle name="Финансовый 2 5 3 7 2" xfId="3285"/>
    <cellStyle name="Финансовый 2 5 3 7 3" xfId="5068"/>
    <cellStyle name="Финансовый 2 5 3 8" xfId="917"/>
    <cellStyle name="Финансовый 2 5 3 9" xfId="505"/>
    <cellStyle name="Финансовый 2 5 4" xfId="176"/>
    <cellStyle name="Финансовый 2 5 4 2" xfId="1274"/>
    <cellStyle name="Финансовый 2 5 4 2 2" xfId="2240"/>
    <cellStyle name="Финансовый 2 5 4 2 2 2" xfId="3885"/>
    <cellStyle name="Финансовый 2 5 4 2 2 3" xfId="5668"/>
    <cellStyle name="Финансовый 2 5 4 2 3" xfId="3058"/>
    <cellStyle name="Финансовый 2 5 4 2 4" xfId="4702"/>
    <cellStyle name="Финансовый 2 5 4 3" xfId="1984"/>
    <cellStyle name="Финансовый 2 5 4 3 2" xfId="3629"/>
    <cellStyle name="Финансовый 2 5 4 3 3" xfId="5412"/>
    <cellStyle name="Финансовый 2 5 4 4" xfId="2505"/>
    <cellStyle name="Финансовый 2 5 4 4 2" xfId="4150"/>
    <cellStyle name="Финансовый 2 5 4 4 3" xfId="5933"/>
    <cellStyle name="Финансовый 2 5 4 5" xfId="1009"/>
    <cellStyle name="Финансовый 2 5 4 6" xfId="597"/>
    <cellStyle name="Финансовый 2 5 4 7" xfId="2786"/>
    <cellStyle name="Финансовый 2 5 4 8" xfId="4430"/>
    <cellStyle name="Финансовый 2 5 5" xfId="325"/>
    <cellStyle name="Финансовый 2 5 5 2" xfId="2112"/>
    <cellStyle name="Финансовый 2 5 5 2 2" xfId="3757"/>
    <cellStyle name="Финансовый 2 5 5 2 3" xfId="5540"/>
    <cellStyle name="Финансовый 2 5 5 3" xfId="1145"/>
    <cellStyle name="Финансовый 2 5 5 4" xfId="745"/>
    <cellStyle name="Финансовый 2 5 5 5" xfId="2922"/>
    <cellStyle name="Финансовый 2 5 5 6" xfId="4566"/>
    <cellStyle name="Финансовый 2 5 6" xfId="1506"/>
    <cellStyle name="Финансовый 2 5 6 2" xfId="1848"/>
    <cellStyle name="Финансовый 2 5 6 2 2" xfId="3493"/>
    <cellStyle name="Финансовый 2 5 6 2 3" xfId="5276"/>
    <cellStyle name="Финансовый 2 5 6 3" xfId="4934"/>
    <cellStyle name="Финансовый 2 5 7" xfId="1732"/>
    <cellStyle name="Финансовый 2 5 7 2" xfId="3377"/>
    <cellStyle name="Финансовый 2 5 7 3" xfId="5160"/>
    <cellStyle name="Финансовый 2 5 8" xfId="2368"/>
    <cellStyle name="Финансовый 2 5 8 2" xfId="4013"/>
    <cellStyle name="Финансовый 2 5 8 3" xfId="5796"/>
    <cellStyle name="Финансовый 2 5 9" xfId="1595"/>
    <cellStyle name="Финансовый 2 5 9 2" xfId="3240"/>
    <cellStyle name="Финансовый 2 5 9 3" xfId="5023"/>
    <cellStyle name="Финансовый 2 6" xfId="90"/>
    <cellStyle name="Финансовый 2 6 10" xfId="2700"/>
    <cellStyle name="Финансовый 2 6 11" xfId="4344"/>
    <cellStyle name="Финансовый 2 6 2" xfId="226"/>
    <cellStyle name="Финансовый 2 6 2 2" xfId="1324"/>
    <cellStyle name="Финансовый 2 6 2 2 2" xfId="2282"/>
    <cellStyle name="Финансовый 2 6 2 2 2 2" xfId="3927"/>
    <cellStyle name="Финансовый 2 6 2 2 2 3" xfId="5710"/>
    <cellStyle name="Финансовый 2 6 2 2 3" xfId="3108"/>
    <cellStyle name="Финансовый 2 6 2 2 4" xfId="4752"/>
    <cellStyle name="Финансовый 2 6 2 3" xfId="2026"/>
    <cellStyle name="Финансовый 2 6 2 3 2" xfId="3671"/>
    <cellStyle name="Финансовый 2 6 2 3 3" xfId="5454"/>
    <cellStyle name="Финансовый 2 6 2 4" xfId="2555"/>
    <cellStyle name="Финансовый 2 6 2 4 2" xfId="4200"/>
    <cellStyle name="Финансовый 2 6 2 4 3" xfId="5983"/>
    <cellStyle name="Финансовый 2 6 2 5" xfId="1059"/>
    <cellStyle name="Финансовый 2 6 2 6" xfId="647"/>
    <cellStyle name="Финансовый 2 6 2 7" xfId="2836"/>
    <cellStyle name="Финансовый 2 6 2 8" xfId="4480"/>
    <cellStyle name="Финансовый 2 6 3" xfId="375"/>
    <cellStyle name="Финансовый 2 6 3 2" xfId="2154"/>
    <cellStyle name="Финансовый 2 6 3 2 2" xfId="3799"/>
    <cellStyle name="Финансовый 2 6 3 2 3" xfId="5582"/>
    <cellStyle name="Финансовый 2 6 3 3" xfId="1188"/>
    <cellStyle name="Финансовый 2 6 3 4" xfId="795"/>
    <cellStyle name="Финансовый 2 6 3 5" xfId="2972"/>
    <cellStyle name="Финансовый 2 6 3 6" xfId="4616"/>
    <cellStyle name="Финансовый 2 6 4" xfId="1508"/>
    <cellStyle name="Финансовый 2 6 4 2" xfId="1898"/>
    <cellStyle name="Финансовый 2 6 4 2 2" xfId="3543"/>
    <cellStyle name="Финансовый 2 6 4 2 3" xfId="5326"/>
    <cellStyle name="Финансовый 2 6 4 3" xfId="4936"/>
    <cellStyle name="Финансовый 2 6 5" xfId="1774"/>
    <cellStyle name="Финансовый 2 6 5 2" xfId="3419"/>
    <cellStyle name="Финансовый 2 6 5 3" xfId="5202"/>
    <cellStyle name="Финансовый 2 6 6" xfId="2419"/>
    <cellStyle name="Финансовый 2 6 6 2" xfId="4064"/>
    <cellStyle name="Финансовый 2 6 6 3" xfId="5847"/>
    <cellStyle name="Финансовый 2 6 7" xfId="1646"/>
    <cellStyle name="Финансовый 2 6 7 2" xfId="3291"/>
    <cellStyle name="Финансовый 2 6 7 3" xfId="5074"/>
    <cellStyle name="Финансовый 2 6 8" xfId="923"/>
    <cellStyle name="Финансовый 2 6 9" xfId="511"/>
    <cellStyle name="Финансовый 2 7" xfId="96"/>
    <cellStyle name="Финансовый 2 7 10" xfId="2706"/>
    <cellStyle name="Финансовый 2 7 11" xfId="4350"/>
    <cellStyle name="Финансовый 2 7 2" xfId="232"/>
    <cellStyle name="Финансовый 2 7 2 2" xfId="1330"/>
    <cellStyle name="Финансовый 2 7 2 2 2" xfId="2288"/>
    <cellStyle name="Финансовый 2 7 2 2 2 2" xfId="3933"/>
    <cellStyle name="Финансовый 2 7 2 2 2 3" xfId="5716"/>
    <cellStyle name="Финансовый 2 7 2 2 3" xfId="3114"/>
    <cellStyle name="Финансовый 2 7 2 2 4" xfId="4758"/>
    <cellStyle name="Финансовый 2 7 2 3" xfId="2032"/>
    <cellStyle name="Финансовый 2 7 2 3 2" xfId="3677"/>
    <cellStyle name="Финансовый 2 7 2 3 3" xfId="5460"/>
    <cellStyle name="Финансовый 2 7 2 4" xfId="2561"/>
    <cellStyle name="Финансовый 2 7 2 4 2" xfId="4206"/>
    <cellStyle name="Финансовый 2 7 2 4 3" xfId="5989"/>
    <cellStyle name="Финансовый 2 7 2 5" xfId="1065"/>
    <cellStyle name="Финансовый 2 7 2 6" xfId="653"/>
    <cellStyle name="Финансовый 2 7 2 7" xfId="2842"/>
    <cellStyle name="Финансовый 2 7 2 8" xfId="4486"/>
    <cellStyle name="Финансовый 2 7 3" xfId="381"/>
    <cellStyle name="Финансовый 2 7 3 2" xfId="2160"/>
    <cellStyle name="Финансовый 2 7 3 2 2" xfId="3805"/>
    <cellStyle name="Финансовый 2 7 3 2 3" xfId="5588"/>
    <cellStyle name="Финансовый 2 7 3 3" xfId="1194"/>
    <cellStyle name="Финансовый 2 7 3 4" xfId="801"/>
    <cellStyle name="Финансовый 2 7 3 5" xfId="2978"/>
    <cellStyle name="Финансовый 2 7 3 6" xfId="4622"/>
    <cellStyle name="Финансовый 2 7 4" xfId="1509"/>
    <cellStyle name="Финансовый 2 7 4 2" xfId="1904"/>
    <cellStyle name="Финансовый 2 7 4 2 2" xfId="3549"/>
    <cellStyle name="Финансовый 2 7 4 2 3" xfId="5332"/>
    <cellStyle name="Финансовый 2 7 4 3" xfId="4937"/>
    <cellStyle name="Финансовый 2 7 5" xfId="1780"/>
    <cellStyle name="Финансовый 2 7 5 2" xfId="3425"/>
    <cellStyle name="Финансовый 2 7 5 3" xfId="5208"/>
    <cellStyle name="Финансовый 2 7 6" xfId="2425"/>
    <cellStyle name="Финансовый 2 7 6 2" xfId="4070"/>
    <cellStyle name="Финансовый 2 7 6 3" xfId="5853"/>
    <cellStyle name="Финансовый 2 7 7" xfId="1652"/>
    <cellStyle name="Финансовый 2 7 7 2" xfId="3297"/>
    <cellStyle name="Финансовый 2 7 7 3" xfId="5080"/>
    <cellStyle name="Финансовый 2 7 8" xfId="929"/>
    <cellStyle name="Финансовый 2 7 9" xfId="517"/>
    <cellStyle name="Финансовый 2 8" xfId="108"/>
    <cellStyle name="Финансовый 2 8 10" xfId="2718"/>
    <cellStyle name="Финансовый 2 8 11" xfId="4362"/>
    <cellStyle name="Финансовый 2 8 2" xfId="244"/>
    <cellStyle name="Финансовый 2 8 2 2" xfId="1342"/>
    <cellStyle name="Финансовый 2 8 2 2 2" xfId="2300"/>
    <cellStyle name="Финансовый 2 8 2 2 2 2" xfId="3945"/>
    <cellStyle name="Финансовый 2 8 2 2 2 3" xfId="5728"/>
    <cellStyle name="Финансовый 2 8 2 2 3" xfId="3126"/>
    <cellStyle name="Финансовый 2 8 2 2 4" xfId="4770"/>
    <cellStyle name="Финансовый 2 8 2 3" xfId="2044"/>
    <cellStyle name="Финансовый 2 8 2 3 2" xfId="3689"/>
    <cellStyle name="Финансовый 2 8 2 3 3" xfId="5472"/>
    <cellStyle name="Финансовый 2 8 2 4" xfId="2573"/>
    <cellStyle name="Финансовый 2 8 2 4 2" xfId="4218"/>
    <cellStyle name="Финансовый 2 8 2 4 3" xfId="6001"/>
    <cellStyle name="Финансовый 2 8 2 5" xfId="1077"/>
    <cellStyle name="Финансовый 2 8 2 6" xfId="665"/>
    <cellStyle name="Финансовый 2 8 2 7" xfId="2854"/>
    <cellStyle name="Финансовый 2 8 2 8" xfId="4498"/>
    <cellStyle name="Финансовый 2 8 3" xfId="393"/>
    <cellStyle name="Финансовый 2 8 3 2" xfId="2172"/>
    <cellStyle name="Финансовый 2 8 3 2 2" xfId="3817"/>
    <cellStyle name="Финансовый 2 8 3 2 3" xfId="5600"/>
    <cellStyle name="Финансовый 2 8 3 3" xfId="1206"/>
    <cellStyle name="Финансовый 2 8 3 4" xfId="813"/>
    <cellStyle name="Финансовый 2 8 3 5" xfId="2990"/>
    <cellStyle name="Финансовый 2 8 3 6" xfId="4634"/>
    <cellStyle name="Финансовый 2 8 4" xfId="1510"/>
    <cellStyle name="Финансовый 2 8 4 2" xfId="1916"/>
    <cellStyle name="Финансовый 2 8 4 2 2" xfId="3561"/>
    <cellStyle name="Финансовый 2 8 4 2 3" xfId="5344"/>
    <cellStyle name="Финансовый 2 8 4 3" xfId="4938"/>
    <cellStyle name="Финансовый 2 8 5" xfId="1792"/>
    <cellStyle name="Финансовый 2 8 5 2" xfId="3437"/>
    <cellStyle name="Финансовый 2 8 5 3" xfId="5220"/>
    <cellStyle name="Финансовый 2 8 6" xfId="2437"/>
    <cellStyle name="Финансовый 2 8 6 2" xfId="4082"/>
    <cellStyle name="Финансовый 2 8 6 3" xfId="5865"/>
    <cellStyle name="Финансовый 2 8 7" xfId="1664"/>
    <cellStyle name="Финансовый 2 8 7 2" xfId="3309"/>
    <cellStyle name="Финансовый 2 8 7 3" xfId="5092"/>
    <cellStyle name="Финансовый 2 8 8" xfId="941"/>
    <cellStyle name="Финансовый 2 8 9" xfId="529"/>
    <cellStyle name="Финансовый 2 9" xfId="126"/>
    <cellStyle name="Финансовый 2 9 10" xfId="2736"/>
    <cellStyle name="Финансовый 2 9 11" xfId="4380"/>
    <cellStyle name="Финансовый 2 9 2" xfId="262"/>
    <cellStyle name="Финансовый 2 9 2 2" xfId="1360"/>
    <cellStyle name="Финансовый 2 9 2 2 2" xfId="2318"/>
    <cellStyle name="Финансовый 2 9 2 2 2 2" xfId="3963"/>
    <cellStyle name="Финансовый 2 9 2 2 2 3" xfId="5746"/>
    <cellStyle name="Финансовый 2 9 2 2 3" xfId="3144"/>
    <cellStyle name="Финансовый 2 9 2 2 4" xfId="4788"/>
    <cellStyle name="Финансовый 2 9 2 3" xfId="2062"/>
    <cellStyle name="Финансовый 2 9 2 3 2" xfId="3707"/>
    <cellStyle name="Финансовый 2 9 2 3 3" xfId="5490"/>
    <cellStyle name="Финансовый 2 9 2 4" xfId="2591"/>
    <cellStyle name="Финансовый 2 9 2 4 2" xfId="4236"/>
    <cellStyle name="Финансовый 2 9 2 4 3" xfId="6019"/>
    <cellStyle name="Финансовый 2 9 2 5" xfId="1095"/>
    <cellStyle name="Финансовый 2 9 2 6" xfId="683"/>
    <cellStyle name="Финансовый 2 9 2 7" xfId="2872"/>
    <cellStyle name="Финансовый 2 9 2 8" xfId="4516"/>
    <cellStyle name="Финансовый 2 9 3" xfId="411"/>
    <cellStyle name="Финансовый 2 9 3 2" xfId="2190"/>
    <cellStyle name="Финансовый 2 9 3 2 2" xfId="3835"/>
    <cellStyle name="Финансовый 2 9 3 2 3" xfId="5618"/>
    <cellStyle name="Финансовый 2 9 3 3" xfId="1224"/>
    <cellStyle name="Финансовый 2 9 3 4" xfId="831"/>
    <cellStyle name="Финансовый 2 9 3 5" xfId="3008"/>
    <cellStyle name="Финансовый 2 9 3 6" xfId="4652"/>
    <cellStyle name="Финансовый 2 9 4" xfId="1511"/>
    <cellStyle name="Финансовый 2 9 4 2" xfId="1934"/>
    <cellStyle name="Финансовый 2 9 4 2 2" xfId="3579"/>
    <cellStyle name="Финансовый 2 9 4 2 3" xfId="5362"/>
    <cellStyle name="Финансовый 2 9 4 3" xfId="4939"/>
    <cellStyle name="Финансовый 2 9 5" xfId="1810"/>
    <cellStyle name="Финансовый 2 9 5 2" xfId="3455"/>
    <cellStyle name="Финансовый 2 9 5 3" xfId="5238"/>
    <cellStyle name="Финансовый 2 9 6" xfId="2455"/>
    <cellStyle name="Финансовый 2 9 6 2" xfId="4100"/>
    <cellStyle name="Финансовый 2 9 6 3" xfId="5883"/>
    <cellStyle name="Финансовый 2 9 7" xfId="1682"/>
    <cellStyle name="Финансовый 2 9 7 2" xfId="3327"/>
    <cellStyle name="Финансовый 2 9 7 3" xfId="5110"/>
    <cellStyle name="Финансовый 2 9 8" xfId="959"/>
    <cellStyle name="Финансовый 2 9 9" xfId="547"/>
    <cellStyle name="Финансовый 20" xfId="2331"/>
    <cellStyle name="Финансовый 20 2" xfId="3976"/>
    <cellStyle name="Финансовый 20 3" xfId="5759"/>
    <cellStyle name="Финансовый 21" xfId="2393"/>
    <cellStyle name="Финансовый 21 2" xfId="4038"/>
    <cellStyle name="Финансовый 21 3" xfId="5821"/>
    <cellStyle name="Финансовый 22" xfId="2606"/>
    <cellStyle name="Финансовый 22 2" xfId="4251"/>
    <cellStyle name="Финансовый 22 3" xfId="6034"/>
    <cellStyle name="Финансовый 23" xfId="2604"/>
    <cellStyle name="Финансовый 23 2" xfId="4249"/>
    <cellStyle name="Финансовый 23 3" xfId="6032"/>
    <cellStyle name="Финансовый 24" xfId="2610"/>
    <cellStyle name="Финансовый 24 2" xfId="4255"/>
    <cellStyle name="Финансовый 24 3" xfId="6038"/>
    <cellStyle name="Финансовый 25" xfId="2608"/>
    <cellStyle name="Финансовый 25 2" xfId="4253"/>
    <cellStyle name="Финансовый 25 3" xfId="6036"/>
    <cellStyle name="Финансовый 26" xfId="2607"/>
    <cellStyle name="Финансовый 26 2" xfId="4252"/>
    <cellStyle name="Финансовый 26 3" xfId="6035"/>
    <cellStyle name="Финансовый 27" xfId="2605"/>
    <cellStyle name="Финансовый 27 2" xfId="4250"/>
    <cellStyle name="Финансовый 27 3" xfId="6033"/>
    <cellStyle name="Финансовый 28" xfId="2609"/>
    <cellStyle name="Финансовый 28 2" xfId="4254"/>
    <cellStyle name="Финансовый 28 3" xfId="6037"/>
    <cellStyle name="Финансовый 29" xfId="1558"/>
    <cellStyle name="Финансовый 29 2" xfId="3203"/>
    <cellStyle name="Финансовый 29 3" xfId="4986"/>
    <cellStyle name="Финансовый 3" xfId="3"/>
    <cellStyle name="Финансовый 3 10" xfId="27"/>
    <cellStyle name="Финансовый 3 10 10" xfId="2639"/>
    <cellStyle name="Финансовый 3 10 11" xfId="4282"/>
    <cellStyle name="Финансовый 3 10 2" xfId="165"/>
    <cellStyle name="Финансовый 3 10 2 2" xfId="1263"/>
    <cellStyle name="Финансовый 3 10 2 2 2" xfId="2229"/>
    <cellStyle name="Финансовый 3 10 2 2 2 2" xfId="3874"/>
    <cellStyle name="Финансовый 3 10 2 2 2 3" xfId="5657"/>
    <cellStyle name="Финансовый 3 10 2 2 3" xfId="3047"/>
    <cellStyle name="Финансовый 3 10 2 2 4" xfId="4691"/>
    <cellStyle name="Финансовый 3 10 2 3" xfId="1973"/>
    <cellStyle name="Финансовый 3 10 2 3 2" xfId="3618"/>
    <cellStyle name="Финансовый 3 10 2 3 3" xfId="5401"/>
    <cellStyle name="Финансовый 3 10 2 4" xfId="2494"/>
    <cellStyle name="Финансовый 3 10 2 4 2" xfId="4139"/>
    <cellStyle name="Финансовый 3 10 2 4 3" xfId="5922"/>
    <cellStyle name="Финансовый 3 10 2 5" xfId="998"/>
    <cellStyle name="Финансовый 3 10 2 6" xfId="586"/>
    <cellStyle name="Финансовый 3 10 2 7" xfId="2775"/>
    <cellStyle name="Финансовый 3 10 2 8" xfId="4419"/>
    <cellStyle name="Финансовый 3 10 3" xfId="314"/>
    <cellStyle name="Финансовый 3 10 3 2" xfId="2101"/>
    <cellStyle name="Финансовый 3 10 3 2 2" xfId="3746"/>
    <cellStyle name="Финансовый 3 10 3 2 3" xfId="5529"/>
    <cellStyle name="Финансовый 3 10 3 3" xfId="1134"/>
    <cellStyle name="Финансовый 3 10 3 4" xfId="734"/>
    <cellStyle name="Финансовый 3 10 3 5" xfId="2911"/>
    <cellStyle name="Финансовый 3 10 3 6" xfId="4555"/>
    <cellStyle name="Финансовый 3 10 4" xfId="1513"/>
    <cellStyle name="Финансовый 3 10 4 2" xfId="1837"/>
    <cellStyle name="Финансовый 3 10 4 2 2" xfId="3482"/>
    <cellStyle name="Финансовый 3 10 4 2 3" xfId="5265"/>
    <cellStyle name="Финансовый 3 10 4 3" xfId="4941"/>
    <cellStyle name="Финансовый 3 10 5" xfId="1721"/>
    <cellStyle name="Финансовый 3 10 5 2" xfId="3366"/>
    <cellStyle name="Финансовый 3 10 5 3" xfId="5149"/>
    <cellStyle name="Финансовый 3 10 6" xfId="2357"/>
    <cellStyle name="Финансовый 3 10 6 2" xfId="4002"/>
    <cellStyle name="Финансовый 3 10 6 3" xfId="5785"/>
    <cellStyle name="Финансовый 3 10 7" xfId="1584"/>
    <cellStyle name="Финансовый 3 10 7 2" xfId="3229"/>
    <cellStyle name="Финансовый 3 10 7 3" xfId="5012"/>
    <cellStyle name="Финансовый 3 10 8" xfId="870"/>
    <cellStyle name="Финансовый 3 10 9" xfId="450"/>
    <cellStyle name="Финансовый 3 11" xfId="15"/>
    <cellStyle name="Финансовый 3 11 10" xfId="2627"/>
    <cellStyle name="Финансовый 3 11 11" xfId="4270"/>
    <cellStyle name="Финансовый 3 11 2" xfId="153"/>
    <cellStyle name="Финансовый 3 11 2 2" xfId="1251"/>
    <cellStyle name="Финансовый 3 11 2 2 2" xfId="2217"/>
    <cellStyle name="Финансовый 3 11 2 2 2 2" xfId="3862"/>
    <cellStyle name="Финансовый 3 11 2 2 2 3" xfId="5645"/>
    <cellStyle name="Финансовый 3 11 2 2 3" xfId="3035"/>
    <cellStyle name="Финансовый 3 11 2 2 4" xfId="4679"/>
    <cellStyle name="Финансовый 3 11 2 3" xfId="1961"/>
    <cellStyle name="Финансовый 3 11 2 3 2" xfId="3606"/>
    <cellStyle name="Финансовый 3 11 2 3 3" xfId="5389"/>
    <cellStyle name="Финансовый 3 11 2 4" xfId="2482"/>
    <cellStyle name="Финансовый 3 11 2 4 2" xfId="4127"/>
    <cellStyle name="Финансовый 3 11 2 4 3" xfId="5910"/>
    <cellStyle name="Финансовый 3 11 2 5" xfId="986"/>
    <cellStyle name="Финансовый 3 11 2 6" xfId="574"/>
    <cellStyle name="Финансовый 3 11 2 7" xfId="2763"/>
    <cellStyle name="Финансовый 3 11 2 8" xfId="4407"/>
    <cellStyle name="Финансовый 3 11 3" xfId="302"/>
    <cellStyle name="Финансовый 3 11 3 2" xfId="2089"/>
    <cellStyle name="Финансовый 3 11 3 2 2" xfId="3734"/>
    <cellStyle name="Финансовый 3 11 3 2 3" xfId="5517"/>
    <cellStyle name="Финансовый 3 11 3 3" xfId="1122"/>
    <cellStyle name="Финансовый 3 11 3 4" xfId="722"/>
    <cellStyle name="Финансовый 3 11 3 5" xfId="2899"/>
    <cellStyle name="Финансовый 3 11 3 6" xfId="4543"/>
    <cellStyle name="Финансовый 3 11 4" xfId="1514"/>
    <cellStyle name="Финансовый 3 11 4 2" xfId="1825"/>
    <cellStyle name="Финансовый 3 11 4 2 2" xfId="3470"/>
    <cellStyle name="Финансовый 3 11 4 2 3" xfId="5253"/>
    <cellStyle name="Финансовый 3 11 4 3" xfId="4942"/>
    <cellStyle name="Финансовый 3 11 5" xfId="1709"/>
    <cellStyle name="Финансовый 3 11 5 2" xfId="3354"/>
    <cellStyle name="Финансовый 3 11 5 3" xfId="5137"/>
    <cellStyle name="Финансовый 3 11 6" xfId="2345"/>
    <cellStyle name="Финансовый 3 11 6 2" xfId="3990"/>
    <cellStyle name="Финансовый 3 11 6 3" xfId="5773"/>
    <cellStyle name="Финансовый 3 11 7" xfId="1572"/>
    <cellStyle name="Финансовый 3 11 7 2" xfId="3217"/>
    <cellStyle name="Финансовый 3 11 7 3" xfId="5000"/>
    <cellStyle name="Финансовый 3 11 8" xfId="858"/>
    <cellStyle name="Финансовый 3 11 9" xfId="438"/>
    <cellStyle name="Финансовый 3 12" xfId="141"/>
    <cellStyle name="Финансовый 3 12 2" xfId="1239"/>
    <cellStyle name="Финансовый 3 12 2 2" xfId="2205"/>
    <cellStyle name="Финансовый 3 12 2 2 2" xfId="3850"/>
    <cellStyle name="Финансовый 3 12 2 2 3" xfId="5633"/>
    <cellStyle name="Финансовый 3 12 2 3" xfId="3023"/>
    <cellStyle name="Финансовый 3 12 2 4" xfId="4667"/>
    <cellStyle name="Финансовый 3 12 3" xfId="1949"/>
    <cellStyle name="Финансовый 3 12 3 2" xfId="3594"/>
    <cellStyle name="Финансовый 3 12 3 3" xfId="5377"/>
    <cellStyle name="Финансовый 3 12 4" xfId="2470"/>
    <cellStyle name="Финансовый 3 12 4 2" xfId="4115"/>
    <cellStyle name="Финансовый 3 12 4 3" xfId="5898"/>
    <cellStyle name="Финансовый 3 12 5" xfId="974"/>
    <cellStyle name="Финансовый 3 12 6" xfId="562"/>
    <cellStyle name="Финансовый 3 12 7" xfId="2751"/>
    <cellStyle name="Финансовый 3 12 8" xfId="4395"/>
    <cellStyle name="Финансовый 3 13" xfId="277"/>
    <cellStyle name="Финансовый 3 13 2" xfId="2077"/>
    <cellStyle name="Финансовый 3 13 2 2" xfId="3722"/>
    <cellStyle name="Финансовый 3 13 2 3" xfId="5505"/>
    <cellStyle name="Финансовый 3 13 3" xfId="1375"/>
    <cellStyle name="Финансовый 3 13 4" xfId="698"/>
    <cellStyle name="Финансовый 3 13 5" xfId="3159"/>
    <cellStyle name="Финансовый 3 13 6" xfId="4803"/>
    <cellStyle name="Финансовый 3 14" xfId="290"/>
    <cellStyle name="Финансовый 3 14 2" xfId="1110"/>
    <cellStyle name="Финансовый 3 14 3" xfId="710"/>
    <cellStyle name="Финансовый 3 14 4" xfId="2887"/>
    <cellStyle name="Финансовый 3 14 5" xfId="4531"/>
    <cellStyle name="Финансовый 3 15" xfId="1512"/>
    <cellStyle name="Финансовый 3 15 2" xfId="1697"/>
    <cellStyle name="Финансовый 3 15 2 2" xfId="3342"/>
    <cellStyle name="Финансовый 3 15 2 3" xfId="5125"/>
    <cellStyle name="Финансовый 3 15 3" xfId="4940"/>
    <cellStyle name="Финансовый 3 16" xfId="2333"/>
    <cellStyle name="Финансовый 3 16 2" xfId="3978"/>
    <cellStyle name="Финансовый 3 16 3" xfId="5761"/>
    <cellStyle name="Финансовый 3 17" xfId="1560"/>
    <cellStyle name="Финансовый 3 17 2" xfId="3205"/>
    <cellStyle name="Финансовый 3 17 3" xfId="4988"/>
    <cellStyle name="Финансовый 3 18" xfId="846"/>
    <cellStyle name="Финансовый 3 19" xfId="426"/>
    <cellStyle name="Финансовый 3 2" xfId="9"/>
    <cellStyle name="Финансовый 3 2 10" xfId="283"/>
    <cellStyle name="Финансовый 3 2 10 2" xfId="2083"/>
    <cellStyle name="Финансовый 3 2 10 2 2" xfId="3728"/>
    <cellStyle name="Финансовый 3 2 10 2 3" xfId="5511"/>
    <cellStyle name="Финансовый 3 2 10 3" xfId="1381"/>
    <cellStyle name="Финансовый 3 2 10 4" xfId="704"/>
    <cellStyle name="Финансовый 3 2 10 5" xfId="3165"/>
    <cellStyle name="Финансовый 3 2 10 6" xfId="4809"/>
    <cellStyle name="Финансовый 3 2 11" xfId="296"/>
    <cellStyle name="Финансовый 3 2 11 2" xfId="1116"/>
    <cellStyle name="Финансовый 3 2 11 3" xfId="716"/>
    <cellStyle name="Финансовый 3 2 11 4" xfId="2893"/>
    <cellStyle name="Финансовый 3 2 11 5" xfId="4537"/>
    <cellStyle name="Финансовый 3 2 12" xfId="1515"/>
    <cellStyle name="Финансовый 3 2 12 2" xfId="1703"/>
    <cellStyle name="Финансовый 3 2 12 2 2" xfId="3348"/>
    <cellStyle name="Финансовый 3 2 12 2 3" xfId="5131"/>
    <cellStyle name="Финансовый 3 2 12 3" xfId="4943"/>
    <cellStyle name="Финансовый 3 2 13" xfId="2339"/>
    <cellStyle name="Финансовый 3 2 13 2" xfId="3984"/>
    <cellStyle name="Финансовый 3 2 13 3" xfId="5767"/>
    <cellStyle name="Финансовый 3 2 14" xfId="1566"/>
    <cellStyle name="Финансовый 3 2 14 2" xfId="3211"/>
    <cellStyle name="Финансовый 3 2 14 3" xfId="4994"/>
    <cellStyle name="Финансовый 3 2 15" xfId="852"/>
    <cellStyle name="Финансовый 3 2 16" xfId="432"/>
    <cellStyle name="Финансовый 3 2 17" xfId="2621"/>
    <cellStyle name="Финансовый 3 2 18" xfId="4264"/>
    <cellStyle name="Финансовый 3 2 2" xfId="45"/>
    <cellStyle name="Финансовый 3 2 2 10" xfId="468"/>
    <cellStyle name="Финансовый 3 2 2 11" xfId="2657"/>
    <cellStyle name="Финансовый 3 2 2 12" xfId="4300"/>
    <cellStyle name="Финансовый 3 2 2 2" xfId="103"/>
    <cellStyle name="Финансовый 3 2 2 2 10" xfId="2713"/>
    <cellStyle name="Финансовый 3 2 2 2 11" xfId="4357"/>
    <cellStyle name="Финансовый 3 2 2 2 2" xfId="239"/>
    <cellStyle name="Финансовый 3 2 2 2 2 2" xfId="1337"/>
    <cellStyle name="Финансовый 3 2 2 2 2 2 2" xfId="2295"/>
    <cellStyle name="Финансовый 3 2 2 2 2 2 2 2" xfId="3940"/>
    <cellStyle name="Финансовый 3 2 2 2 2 2 2 3" xfId="5723"/>
    <cellStyle name="Финансовый 3 2 2 2 2 2 3" xfId="3121"/>
    <cellStyle name="Финансовый 3 2 2 2 2 2 4" xfId="4765"/>
    <cellStyle name="Финансовый 3 2 2 2 2 3" xfId="2039"/>
    <cellStyle name="Финансовый 3 2 2 2 2 3 2" xfId="3684"/>
    <cellStyle name="Финансовый 3 2 2 2 2 3 3" xfId="5467"/>
    <cellStyle name="Финансовый 3 2 2 2 2 4" xfId="2568"/>
    <cellStyle name="Финансовый 3 2 2 2 2 4 2" xfId="4213"/>
    <cellStyle name="Финансовый 3 2 2 2 2 4 3" xfId="5996"/>
    <cellStyle name="Финансовый 3 2 2 2 2 5" xfId="1072"/>
    <cellStyle name="Финансовый 3 2 2 2 2 6" xfId="660"/>
    <cellStyle name="Финансовый 3 2 2 2 2 7" xfId="2849"/>
    <cellStyle name="Финансовый 3 2 2 2 2 8" xfId="4493"/>
    <cellStyle name="Финансовый 3 2 2 2 3" xfId="388"/>
    <cellStyle name="Финансовый 3 2 2 2 3 2" xfId="2167"/>
    <cellStyle name="Финансовый 3 2 2 2 3 2 2" xfId="3812"/>
    <cellStyle name="Финансовый 3 2 2 2 3 2 3" xfId="5595"/>
    <cellStyle name="Финансовый 3 2 2 2 3 3" xfId="1201"/>
    <cellStyle name="Финансовый 3 2 2 2 3 4" xfId="808"/>
    <cellStyle name="Финансовый 3 2 2 2 3 5" xfId="2985"/>
    <cellStyle name="Финансовый 3 2 2 2 3 6" xfId="4629"/>
    <cellStyle name="Финансовый 3 2 2 2 4" xfId="1517"/>
    <cellStyle name="Финансовый 3 2 2 2 4 2" xfId="1911"/>
    <cellStyle name="Финансовый 3 2 2 2 4 2 2" xfId="3556"/>
    <cellStyle name="Финансовый 3 2 2 2 4 2 3" xfId="5339"/>
    <cellStyle name="Финансовый 3 2 2 2 4 3" xfId="4945"/>
    <cellStyle name="Финансовый 3 2 2 2 5" xfId="1787"/>
    <cellStyle name="Финансовый 3 2 2 2 5 2" xfId="3432"/>
    <cellStyle name="Финансовый 3 2 2 2 5 3" xfId="5215"/>
    <cellStyle name="Финансовый 3 2 2 2 6" xfId="2432"/>
    <cellStyle name="Финансовый 3 2 2 2 6 2" xfId="4077"/>
    <cellStyle name="Финансовый 3 2 2 2 6 3" xfId="5860"/>
    <cellStyle name="Финансовый 3 2 2 2 7" xfId="1659"/>
    <cellStyle name="Финансовый 3 2 2 2 7 2" xfId="3304"/>
    <cellStyle name="Финансовый 3 2 2 2 7 3" xfId="5087"/>
    <cellStyle name="Финансовый 3 2 2 2 8" xfId="936"/>
    <cellStyle name="Финансовый 3 2 2 2 9" xfId="524"/>
    <cellStyle name="Финансовый 3 2 2 3" xfId="183"/>
    <cellStyle name="Финансовый 3 2 2 3 2" xfId="1281"/>
    <cellStyle name="Финансовый 3 2 2 3 2 2" xfId="2247"/>
    <cellStyle name="Финансовый 3 2 2 3 2 2 2" xfId="3892"/>
    <cellStyle name="Финансовый 3 2 2 3 2 2 3" xfId="5675"/>
    <cellStyle name="Финансовый 3 2 2 3 2 3" xfId="3065"/>
    <cellStyle name="Финансовый 3 2 2 3 2 4" xfId="4709"/>
    <cellStyle name="Финансовый 3 2 2 3 3" xfId="1991"/>
    <cellStyle name="Финансовый 3 2 2 3 3 2" xfId="3636"/>
    <cellStyle name="Финансовый 3 2 2 3 3 3" xfId="5419"/>
    <cellStyle name="Финансовый 3 2 2 3 4" xfId="2512"/>
    <cellStyle name="Финансовый 3 2 2 3 4 2" xfId="4157"/>
    <cellStyle name="Финансовый 3 2 2 3 4 3" xfId="5940"/>
    <cellStyle name="Финансовый 3 2 2 3 5" xfId="1016"/>
    <cellStyle name="Финансовый 3 2 2 3 6" xfId="604"/>
    <cellStyle name="Финансовый 3 2 2 3 7" xfId="2793"/>
    <cellStyle name="Финансовый 3 2 2 3 8" xfId="4437"/>
    <cellStyle name="Финансовый 3 2 2 4" xfId="332"/>
    <cellStyle name="Финансовый 3 2 2 4 2" xfId="2119"/>
    <cellStyle name="Финансовый 3 2 2 4 2 2" xfId="3764"/>
    <cellStyle name="Финансовый 3 2 2 4 2 3" xfId="5547"/>
    <cellStyle name="Финансовый 3 2 2 4 3" xfId="1152"/>
    <cellStyle name="Финансовый 3 2 2 4 4" xfId="752"/>
    <cellStyle name="Финансовый 3 2 2 4 5" xfId="2929"/>
    <cellStyle name="Финансовый 3 2 2 4 6" xfId="4573"/>
    <cellStyle name="Финансовый 3 2 2 5" xfId="1516"/>
    <cellStyle name="Финансовый 3 2 2 5 2" xfId="1855"/>
    <cellStyle name="Финансовый 3 2 2 5 2 2" xfId="3500"/>
    <cellStyle name="Финансовый 3 2 2 5 2 3" xfId="5283"/>
    <cellStyle name="Финансовый 3 2 2 5 3" xfId="4944"/>
    <cellStyle name="Финансовый 3 2 2 6" xfId="1739"/>
    <cellStyle name="Финансовый 3 2 2 6 2" xfId="3384"/>
    <cellStyle name="Финансовый 3 2 2 6 3" xfId="5167"/>
    <cellStyle name="Финансовый 3 2 2 7" xfId="2375"/>
    <cellStyle name="Финансовый 3 2 2 7 2" xfId="4020"/>
    <cellStyle name="Финансовый 3 2 2 7 3" xfId="5803"/>
    <cellStyle name="Финансовый 3 2 2 8" xfId="1602"/>
    <cellStyle name="Финансовый 3 2 2 8 2" xfId="3247"/>
    <cellStyle name="Финансовый 3 2 2 8 3" xfId="5030"/>
    <cellStyle name="Финансовый 3 2 2 9" xfId="888"/>
    <cellStyle name="Финансовый 3 2 3" xfId="115"/>
    <cellStyle name="Финансовый 3 2 3 10" xfId="2725"/>
    <cellStyle name="Финансовый 3 2 3 11" xfId="4369"/>
    <cellStyle name="Финансовый 3 2 3 2" xfId="251"/>
    <cellStyle name="Финансовый 3 2 3 2 2" xfId="1349"/>
    <cellStyle name="Финансовый 3 2 3 2 2 2" xfId="2307"/>
    <cellStyle name="Финансовый 3 2 3 2 2 2 2" xfId="3952"/>
    <cellStyle name="Финансовый 3 2 3 2 2 2 3" xfId="5735"/>
    <cellStyle name="Финансовый 3 2 3 2 2 3" xfId="3133"/>
    <cellStyle name="Финансовый 3 2 3 2 2 4" xfId="4777"/>
    <cellStyle name="Финансовый 3 2 3 2 3" xfId="2051"/>
    <cellStyle name="Финансовый 3 2 3 2 3 2" xfId="3696"/>
    <cellStyle name="Финансовый 3 2 3 2 3 3" xfId="5479"/>
    <cellStyle name="Финансовый 3 2 3 2 4" xfId="2580"/>
    <cellStyle name="Финансовый 3 2 3 2 4 2" xfId="4225"/>
    <cellStyle name="Финансовый 3 2 3 2 4 3" xfId="6008"/>
    <cellStyle name="Финансовый 3 2 3 2 5" xfId="1084"/>
    <cellStyle name="Финансовый 3 2 3 2 6" xfId="672"/>
    <cellStyle name="Финансовый 3 2 3 2 7" xfId="2861"/>
    <cellStyle name="Финансовый 3 2 3 2 8" xfId="4505"/>
    <cellStyle name="Финансовый 3 2 3 3" xfId="400"/>
    <cellStyle name="Финансовый 3 2 3 3 2" xfId="2179"/>
    <cellStyle name="Финансовый 3 2 3 3 2 2" xfId="3824"/>
    <cellStyle name="Финансовый 3 2 3 3 2 3" xfId="5607"/>
    <cellStyle name="Финансовый 3 2 3 3 3" xfId="1213"/>
    <cellStyle name="Финансовый 3 2 3 3 4" xfId="820"/>
    <cellStyle name="Финансовый 3 2 3 3 5" xfId="2997"/>
    <cellStyle name="Финансовый 3 2 3 3 6" xfId="4641"/>
    <cellStyle name="Финансовый 3 2 3 4" xfId="1518"/>
    <cellStyle name="Финансовый 3 2 3 4 2" xfId="1923"/>
    <cellStyle name="Финансовый 3 2 3 4 2 2" xfId="3568"/>
    <cellStyle name="Финансовый 3 2 3 4 2 3" xfId="5351"/>
    <cellStyle name="Финансовый 3 2 3 4 3" xfId="4946"/>
    <cellStyle name="Финансовый 3 2 3 5" xfId="1799"/>
    <cellStyle name="Финансовый 3 2 3 5 2" xfId="3444"/>
    <cellStyle name="Финансовый 3 2 3 5 3" xfId="5227"/>
    <cellStyle name="Финансовый 3 2 3 6" xfId="2444"/>
    <cellStyle name="Финансовый 3 2 3 6 2" xfId="4089"/>
    <cellStyle name="Финансовый 3 2 3 6 3" xfId="5872"/>
    <cellStyle name="Финансовый 3 2 3 7" xfId="1671"/>
    <cellStyle name="Финансовый 3 2 3 7 2" xfId="3316"/>
    <cellStyle name="Финансовый 3 2 3 7 3" xfId="5099"/>
    <cellStyle name="Финансовый 3 2 3 8" xfId="948"/>
    <cellStyle name="Финансовый 3 2 3 9" xfId="536"/>
    <cellStyle name="Финансовый 3 2 4" xfId="79"/>
    <cellStyle name="Финансовый 3 2 4 10" xfId="2689"/>
    <cellStyle name="Финансовый 3 2 4 11" xfId="4333"/>
    <cellStyle name="Финансовый 3 2 4 2" xfId="215"/>
    <cellStyle name="Финансовый 3 2 4 2 2" xfId="1313"/>
    <cellStyle name="Финансовый 3 2 4 2 2 2" xfId="2271"/>
    <cellStyle name="Финансовый 3 2 4 2 2 2 2" xfId="3916"/>
    <cellStyle name="Финансовый 3 2 4 2 2 2 3" xfId="5699"/>
    <cellStyle name="Финансовый 3 2 4 2 2 3" xfId="3097"/>
    <cellStyle name="Финансовый 3 2 4 2 2 4" xfId="4741"/>
    <cellStyle name="Финансовый 3 2 4 2 3" xfId="2015"/>
    <cellStyle name="Финансовый 3 2 4 2 3 2" xfId="3660"/>
    <cellStyle name="Финансовый 3 2 4 2 3 3" xfId="5443"/>
    <cellStyle name="Финансовый 3 2 4 2 4" xfId="2544"/>
    <cellStyle name="Финансовый 3 2 4 2 4 2" xfId="4189"/>
    <cellStyle name="Финансовый 3 2 4 2 4 3" xfId="5972"/>
    <cellStyle name="Финансовый 3 2 4 2 5" xfId="1048"/>
    <cellStyle name="Финансовый 3 2 4 2 6" xfId="636"/>
    <cellStyle name="Финансовый 3 2 4 2 7" xfId="2825"/>
    <cellStyle name="Финансовый 3 2 4 2 8" xfId="4469"/>
    <cellStyle name="Финансовый 3 2 4 3" xfId="364"/>
    <cellStyle name="Финансовый 3 2 4 3 2" xfId="2143"/>
    <cellStyle name="Финансовый 3 2 4 3 2 2" xfId="3788"/>
    <cellStyle name="Финансовый 3 2 4 3 2 3" xfId="5571"/>
    <cellStyle name="Финансовый 3 2 4 3 3" xfId="1177"/>
    <cellStyle name="Финансовый 3 2 4 3 4" xfId="784"/>
    <cellStyle name="Финансовый 3 2 4 3 5" xfId="2961"/>
    <cellStyle name="Финансовый 3 2 4 3 6" xfId="4605"/>
    <cellStyle name="Финансовый 3 2 4 4" xfId="1519"/>
    <cellStyle name="Финансовый 3 2 4 4 2" xfId="1887"/>
    <cellStyle name="Финансовый 3 2 4 4 2 2" xfId="3532"/>
    <cellStyle name="Финансовый 3 2 4 4 2 3" xfId="5315"/>
    <cellStyle name="Финансовый 3 2 4 4 3" xfId="4947"/>
    <cellStyle name="Финансовый 3 2 4 5" xfId="1763"/>
    <cellStyle name="Финансовый 3 2 4 5 2" xfId="3408"/>
    <cellStyle name="Финансовый 3 2 4 5 3" xfId="5191"/>
    <cellStyle name="Финансовый 3 2 4 6" xfId="2408"/>
    <cellStyle name="Финансовый 3 2 4 6 2" xfId="4053"/>
    <cellStyle name="Финансовый 3 2 4 6 3" xfId="5836"/>
    <cellStyle name="Финансовый 3 2 4 7" xfId="1635"/>
    <cellStyle name="Финансовый 3 2 4 7 2" xfId="3280"/>
    <cellStyle name="Финансовый 3 2 4 7 3" xfId="5063"/>
    <cellStyle name="Финансовый 3 2 4 8" xfId="912"/>
    <cellStyle name="Финансовый 3 2 4 9" xfId="500"/>
    <cellStyle name="Финансовый 3 2 5" xfId="57"/>
    <cellStyle name="Финансовый 3 2 5 10" xfId="2669"/>
    <cellStyle name="Финансовый 3 2 5 11" xfId="4312"/>
    <cellStyle name="Финансовый 3 2 5 2" xfId="195"/>
    <cellStyle name="Финансовый 3 2 5 2 2" xfId="1293"/>
    <cellStyle name="Финансовый 3 2 5 2 2 2" xfId="2259"/>
    <cellStyle name="Финансовый 3 2 5 2 2 2 2" xfId="3904"/>
    <cellStyle name="Финансовый 3 2 5 2 2 2 3" xfId="5687"/>
    <cellStyle name="Финансовый 3 2 5 2 2 3" xfId="3077"/>
    <cellStyle name="Финансовый 3 2 5 2 2 4" xfId="4721"/>
    <cellStyle name="Финансовый 3 2 5 2 3" xfId="2003"/>
    <cellStyle name="Финансовый 3 2 5 2 3 2" xfId="3648"/>
    <cellStyle name="Финансовый 3 2 5 2 3 3" xfId="5431"/>
    <cellStyle name="Финансовый 3 2 5 2 4" xfId="2524"/>
    <cellStyle name="Финансовый 3 2 5 2 4 2" xfId="4169"/>
    <cellStyle name="Финансовый 3 2 5 2 4 3" xfId="5952"/>
    <cellStyle name="Финансовый 3 2 5 2 5" xfId="1028"/>
    <cellStyle name="Финансовый 3 2 5 2 6" xfId="616"/>
    <cellStyle name="Финансовый 3 2 5 2 7" xfId="2805"/>
    <cellStyle name="Финансовый 3 2 5 2 8" xfId="4449"/>
    <cellStyle name="Финансовый 3 2 5 3" xfId="344"/>
    <cellStyle name="Финансовый 3 2 5 3 2" xfId="2131"/>
    <cellStyle name="Финансовый 3 2 5 3 2 2" xfId="3776"/>
    <cellStyle name="Финансовый 3 2 5 3 2 3" xfId="5559"/>
    <cellStyle name="Финансовый 3 2 5 3 3" xfId="1164"/>
    <cellStyle name="Финансовый 3 2 5 3 4" xfId="764"/>
    <cellStyle name="Финансовый 3 2 5 3 5" xfId="2941"/>
    <cellStyle name="Финансовый 3 2 5 3 6" xfId="4585"/>
    <cellStyle name="Финансовый 3 2 5 4" xfId="1520"/>
    <cellStyle name="Финансовый 3 2 5 4 2" xfId="1867"/>
    <cellStyle name="Финансовый 3 2 5 4 2 2" xfId="3512"/>
    <cellStyle name="Финансовый 3 2 5 4 2 3" xfId="5295"/>
    <cellStyle name="Финансовый 3 2 5 4 3" xfId="4948"/>
    <cellStyle name="Финансовый 3 2 5 5" xfId="1751"/>
    <cellStyle name="Финансовый 3 2 5 5 2" xfId="3396"/>
    <cellStyle name="Финансовый 3 2 5 5 3" xfId="5179"/>
    <cellStyle name="Финансовый 3 2 5 6" xfId="2387"/>
    <cellStyle name="Финансовый 3 2 5 6 2" xfId="4032"/>
    <cellStyle name="Финансовый 3 2 5 6 3" xfId="5815"/>
    <cellStyle name="Финансовый 3 2 5 7" xfId="1614"/>
    <cellStyle name="Финансовый 3 2 5 7 2" xfId="3259"/>
    <cellStyle name="Финансовый 3 2 5 7 3" xfId="5042"/>
    <cellStyle name="Финансовый 3 2 5 8" xfId="900"/>
    <cellStyle name="Финансовый 3 2 5 9" xfId="480"/>
    <cellStyle name="Финансовый 3 2 6" xfId="135"/>
    <cellStyle name="Финансовый 3 2 6 10" xfId="2745"/>
    <cellStyle name="Финансовый 3 2 6 11" xfId="4389"/>
    <cellStyle name="Финансовый 3 2 6 2" xfId="271"/>
    <cellStyle name="Финансовый 3 2 6 2 2" xfId="1369"/>
    <cellStyle name="Финансовый 3 2 6 2 2 2" xfId="2327"/>
    <cellStyle name="Финансовый 3 2 6 2 2 2 2" xfId="3972"/>
    <cellStyle name="Финансовый 3 2 6 2 2 2 3" xfId="5755"/>
    <cellStyle name="Финансовый 3 2 6 2 2 3" xfId="3153"/>
    <cellStyle name="Финансовый 3 2 6 2 2 4" xfId="4797"/>
    <cellStyle name="Финансовый 3 2 6 2 3" xfId="2071"/>
    <cellStyle name="Финансовый 3 2 6 2 3 2" xfId="3716"/>
    <cellStyle name="Финансовый 3 2 6 2 3 3" xfId="5499"/>
    <cellStyle name="Финансовый 3 2 6 2 4" xfId="2600"/>
    <cellStyle name="Финансовый 3 2 6 2 4 2" xfId="4245"/>
    <cellStyle name="Финансовый 3 2 6 2 4 3" xfId="6028"/>
    <cellStyle name="Финансовый 3 2 6 2 5" xfId="1104"/>
    <cellStyle name="Финансовый 3 2 6 2 6" xfId="692"/>
    <cellStyle name="Финансовый 3 2 6 2 7" xfId="2881"/>
    <cellStyle name="Финансовый 3 2 6 2 8" xfId="4525"/>
    <cellStyle name="Финансовый 3 2 6 3" xfId="420"/>
    <cellStyle name="Финансовый 3 2 6 3 2" xfId="2199"/>
    <cellStyle name="Финансовый 3 2 6 3 2 2" xfId="3844"/>
    <cellStyle name="Финансовый 3 2 6 3 2 3" xfId="5627"/>
    <cellStyle name="Финансовый 3 2 6 3 3" xfId="1233"/>
    <cellStyle name="Финансовый 3 2 6 3 4" xfId="840"/>
    <cellStyle name="Финансовый 3 2 6 3 5" xfId="3017"/>
    <cellStyle name="Финансовый 3 2 6 3 6" xfId="4661"/>
    <cellStyle name="Финансовый 3 2 6 4" xfId="1521"/>
    <cellStyle name="Финансовый 3 2 6 4 2" xfId="1943"/>
    <cellStyle name="Финансовый 3 2 6 4 2 2" xfId="3588"/>
    <cellStyle name="Финансовый 3 2 6 4 2 3" xfId="5371"/>
    <cellStyle name="Финансовый 3 2 6 4 3" xfId="4949"/>
    <cellStyle name="Финансовый 3 2 6 5" xfId="1819"/>
    <cellStyle name="Финансовый 3 2 6 5 2" xfId="3464"/>
    <cellStyle name="Финансовый 3 2 6 5 3" xfId="5247"/>
    <cellStyle name="Финансовый 3 2 6 6" xfId="2464"/>
    <cellStyle name="Финансовый 3 2 6 6 2" xfId="4109"/>
    <cellStyle name="Финансовый 3 2 6 6 3" xfId="5892"/>
    <cellStyle name="Финансовый 3 2 6 7" xfId="1691"/>
    <cellStyle name="Финансовый 3 2 6 7 2" xfId="3336"/>
    <cellStyle name="Финансовый 3 2 6 7 3" xfId="5119"/>
    <cellStyle name="Финансовый 3 2 6 8" xfId="968"/>
    <cellStyle name="Финансовый 3 2 6 9" xfId="556"/>
    <cellStyle name="Финансовый 3 2 7" xfId="33"/>
    <cellStyle name="Финансовый 3 2 7 10" xfId="2645"/>
    <cellStyle name="Финансовый 3 2 7 11" xfId="4288"/>
    <cellStyle name="Финансовый 3 2 7 2" xfId="171"/>
    <cellStyle name="Финансовый 3 2 7 2 2" xfId="1269"/>
    <cellStyle name="Финансовый 3 2 7 2 2 2" xfId="2235"/>
    <cellStyle name="Финансовый 3 2 7 2 2 2 2" xfId="3880"/>
    <cellStyle name="Финансовый 3 2 7 2 2 2 3" xfId="5663"/>
    <cellStyle name="Финансовый 3 2 7 2 2 3" xfId="3053"/>
    <cellStyle name="Финансовый 3 2 7 2 2 4" xfId="4697"/>
    <cellStyle name="Финансовый 3 2 7 2 3" xfId="1979"/>
    <cellStyle name="Финансовый 3 2 7 2 3 2" xfId="3624"/>
    <cellStyle name="Финансовый 3 2 7 2 3 3" xfId="5407"/>
    <cellStyle name="Финансовый 3 2 7 2 4" xfId="2500"/>
    <cellStyle name="Финансовый 3 2 7 2 4 2" xfId="4145"/>
    <cellStyle name="Финансовый 3 2 7 2 4 3" xfId="5928"/>
    <cellStyle name="Финансовый 3 2 7 2 5" xfId="1004"/>
    <cellStyle name="Финансовый 3 2 7 2 6" xfId="592"/>
    <cellStyle name="Финансовый 3 2 7 2 7" xfId="2781"/>
    <cellStyle name="Финансовый 3 2 7 2 8" xfId="4425"/>
    <cellStyle name="Финансовый 3 2 7 3" xfId="320"/>
    <cellStyle name="Финансовый 3 2 7 3 2" xfId="2107"/>
    <cellStyle name="Финансовый 3 2 7 3 2 2" xfId="3752"/>
    <cellStyle name="Финансовый 3 2 7 3 2 3" xfId="5535"/>
    <cellStyle name="Финансовый 3 2 7 3 3" xfId="1140"/>
    <cellStyle name="Финансовый 3 2 7 3 4" xfId="740"/>
    <cellStyle name="Финансовый 3 2 7 3 5" xfId="2917"/>
    <cellStyle name="Финансовый 3 2 7 3 6" xfId="4561"/>
    <cellStyle name="Финансовый 3 2 7 4" xfId="1522"/>
    <cellStyle name="Финансовый 3 2 7 4 2" xfId="1843"/>
    <cellStyle name="Финансовый 3 2 7 4 2 2" xfId="3488"/>
    <cellStyle name="Финансовый 3 2 7 4 2 3" xfId="5271"/>
    <cellStyle name="Финансовый 3 2 7 4 3" xfId="4950"/>
    <cellStyle name="Финансовый 3 2 7 5" xfId="1727"/>
    <cellStyle name="Финансовый 3 2 7 5 2" xfId="3372"/>
    <cellStyle name="Финансовый 3 2 7 5 3" xfId="5155"/>
    <cellStyle name="Финансовый 3 2 7 6" xfId="2363"/>
    <cellStyle name="Финансовый 3 2 7 6 2" xfId="4008"/>
    <cellStyle name="Финансовый 3 2 7 6 3" xfId="5791"/>
    <cellStyle name="Финансовый 3 2 7 7" xfId="1590"/>
    <cellStyle name="Финансовый 3 2 7 7 2" xfId="3235"/>
    <cellStyle name="Финансовый 3 2 7 7 3" xfId="5018"/>
    <cellStyle name="Финансовый 3 2 7 8" xfId="876"/>
    <cellStyle name="Финансовый 3 2 7 9" xfId="456"/>
    <cellStyle name="Финансовый 3 2 8" xfId="21"/>
    <cellStyle name="Финансовый 3 2 8 10" xfId="2633"/>
    <cellStyle name="Финансовый 3 2 8 11" xfId="4276"/>
    <cellStyle name="Финансовый 3 2 8 2" xfId="159"/>
    <cellStyle name="Финансовый 3 2 8 2 2" xfId="1257"/>
    <cellStyle name="Финансовый 3 2 8 2 2 2" xfId="2223"/>
    <cellStyle name="Финансовый 3 2 8 2 2 2 2" xfId="3868"/>
    <cellStyle name="Финансовый 3 2 8 2 2 2 3" xfId="5651"/>
    <cellStyle name="Финансовый 3 2 8 2 2 3" xfId="3041"/>
    <cellStyle name="Финансовый 3 2 8 2 2 4" xfId="4685"/>
    <cellStyle name="Финансовый 3 2 8 2 3" xfId="1967"/>
    <cellStyle name="Финансовый 3 2 8 2 3 2" xfId="3612"/>
    <cellStyle name="Финансовый 3 2 8 2 3 3" xfId="5395"/>
    <cellStyle name="Финансовый 3 2 8 2 4" xfId="2488"/>
    <cellStyle name="Финансовый 3 2 8 2 4 2" xfId="4133"/>
    <cellStyle name="Финансовый 3 2 8 2 4 3" xfId="5916"/>
    <cellStyle name="Финансовый 3 2 8 2 5" xfId="992"/>
    <cellStyle name="Финансовый 3 2 8 2 6" xfId="580"/>
    <cellStyle name="Финансовый 3 2 8 2 7" xfId="2769"/>
    <cellStyle name="Финансовый 3 2 8 2 8" xfId="4413"/>
    <cellStyle name="Финансовый 3 2 8 3" xfId="308"/>
    <cellStyle name="Финансовый 3 2 8 3 2" xfId="2095"/>
    <cellStyle name="Финансовый 3 2 8 3 2 2" xfId="3740"/>
    <cellStyle name="Финансовый 3 2 8 3 2 3" xfId="5523"/>
    <cellStyle name="Финансовый 3 2 8 3 3" xfId="1128"/>
    <cellStyle name="Финансовый 3 2 8 3 4" xfId="728"/>
    <cellStyle name="Финансовый 3 2 8 3 5" xfId="2905"/>
    <cellStyle name="Финансовый 3 2 8 3 6" xfId="4549"/>
    <cellStyle name="Финансовый 3 2 8 4" xfId="1523"/>
    <cellStyle name="Финансовый 3 2 8 4 2" xfId="1831"/>
    <cellStyle name="Финансовый 3 2 8 4 2 2" xfId="3476"/>
    <cellStyle name="Финансовый 3 2 8 4 2 3" xfId="5259"/>
    <cellStyle name="Финансовый 3 2 8 4 3" xfId="4951"/>
    <cellStyle name="Финансовый 3 2 8 5" xfId="1715"/>
    <cellStyle name="Финансовый 3 2 8 5 2" xfId="3360"/>
    <cellStyle name="Финансовый 3 2 8 5 3" xfId="5143"/>
    <cellStyle name="Финансовый 3 2 8 6" xfId="2351"/>
    <cellStyle name="Финансовый 3 2 8 6 2" xfId="3996"/>
    <cellStyle name="Финансовый 3 2 8 6 3" xfId="5779"/>
    <cellStyle name="Финансовый 3 2 8 7" xfId="1578"/>
    <cellStyle name="Финансовый 3 2 8 7 2" xfId="3223"/>
    <cellStyle name="Финансовый 3 2 8 7 3" xfId="5006"/>
    <cellStyle name="Финансовый 3 2 8 8" xfId="864"/>
    <cellStyle name="Финансовый 3 2 8 9" xfId="444"/>
    <cellStyle name="Финансовый 3 2 9" xfId="147"/>
    <cellStyle name="Финансовый 3 2 9 2" xfId="1245"/>
    <cellStyle name="Финансовый 3 2 9 2 2" xfId="2211"/>
    <cellStyle name="Финансовый 3 2 9 2 2 2" xfId="3856"/>
    <cellStyle name="Финансовый 3 2 9 2 2 3" xfId="5639"/>
    <cellStyle name="Финансовый 3 2 9 2 3" xfId="3029"/>
    <cellStyle name="Финансовый 3 2 9 2 4" xfId="4673"/>
    <cellStyle name="Финансовый 3 2 9 3" xfId="1955"/>
    <cellStyle name="Финансовый 3 2 9 3 2" xfId="3600"/>
    <cellStyle name="Финансовый 3 2 9 3 3" xfId="5383"/>
    <cellStyle name="Финансовый 3 2 9 4" xfId="2476"/>
    <cellStyle name="Финансовый 3 2 9 4 2" xfId="4121"/>
    <cellStyle name="Финансовый 3 2 9 4 3" xfId="5904"/>
    <cellStyle name="Финансовый 3 2 9 5" xfId="980"/>
    <cellStyle name="Финансовый 3 2 9 6" xfId="568"/>
    <cellStyle name="Финансовый 3 2 9 7" xfId="2757"/>
    <cellStyle name="Финансовый 3 2 9 8" xfId="4401"/>
    <cellStyle name="Финансовый 3 20" xfId="2615"/>
    <cellStyle name="Финансовый 3 21" xfId="4258"/>
    <cellStyle name="Финансовый 3 3" xfId="39"/>
    <cellStyle name="Финансовый 3 3 10" xfId="882"/>
    <cellStyle name="Финансовый 3 3 11" xfId="462"/>
    <cellStyle name="Финансовый 3 3 12" xfId="2651"/>
    <cellStyle name="Финансовый 3 3 13" xfId="4294"/>
    <cellStyle name="Финансовый 3 3 2" xfId="121"/>
    <cellStyle name="Финансовый 3 3 2 10" xfId="2731"/>
    <cellStyle name="Финансовый 3 3 2 11" xfId="4375"/>
    <cellStyle name="Финансовый 3 3 2 2" xfId="257"/>
    <cellStyle name="Финансовый 3 3 2 2 2" xfId="1355"/>
    <cellStyle name="Финансовый 3 3 2 2 2 2" xfId="2313"/>
    <cellStyle name="Финансовый 3 3 2 2 2 2 2" xfId="3958"/>
    <cellStyle name="Финансовый 3 3 2 2 2 2 3" xfId="5741"/>
    <cellStyle name="Финансовый 3 3 2 2 2 3" xfId="3139"/>
    <cellStyle name="Финансовый 3 3 2 2 2 4" xfId="4783"/>
    <cellStyle name="Финансовый 3 3 2 2 3" xfId="2057"/>
    <cellStyle name="Финансовый 3 3 2 2 3 2" xfId="3702"/>
    <cellStyle name="Финансовый 3 3 2 2 3 3" xfId="5485"/>
    <cellStyle name="Финансовый 3 3 2 2 4" xfId="2586"/>
    <cellStyle name="Финансовый 3 3 2 2 4 2" xfId="4231"/>
    <cellStyle name="Финансовый 3 3 2 2 4 3" xfId="6014"/>
    <cellStyle name="Финансовый 3 3 2 2 5" xfId="1090"/>
    <cellStyle name="Финансовый 3 3 2 2 6" xfId="678"/>
    <cellStyle name="Финансовый 3 3 2 2 7" xfId="2867"/>
    <cellStyle name="Финансовый 3 3 2 2 8" xfId="4511"/>
    <cellStyle name="Финансовый 3 3 2 3" xfId="406"/>
    <cellStyle name="Финансовый 3 3 2 3 2" xfId="2185"/>
    <cellStyle name="Финансовый 3 3 2 3 2 2" xfId="3830"/>
    <cellStyle name="Финансовый 3 3 2 3 2 3" xfId="5613"/>
    <cellStyle name="Финансовый 3 3 2 3 3" xfId="1219"/>
    <cellStyle name="Финансовый 3 3 2 3 4" xfId="826"/>
    <cellStyle name="Финансовый 3 3 2 3 5" xfId="3003"/>
    <cellStyle name="Финансовый 3 3 2 3 6" xfId="4647"/>
    <cellStyle name="Финансовый 3 3 2 4" xfId="1525"/>
    <cellStyle name="Финансовый 3 3 2 4 2" xfId="1929"/>
    <cellStyle name="Финансовый 3 3 2 4 2 2" xfId="3574"/>
    <cellStyle name="Финансовый 3 3 2 4 2 3" xfId="5357"/>
    <cellStyle name="Финансовый 3 3 2 4 3" xfId="4953"/>
    <cellStyle name="Финансовый 3 3 2 5" xfId="1805"/>
    <cellStyle name="Финансовый 3 3 2 5 2" xfId="3450"/>
    <cellStyle name="Финансовый 3 3 2 5 3" xfId="5233"/>
    <cellStyle name="Финансовый 3 3 2 6" xfId="2450"/>
    <cellStyle name="Финансовый 3 3 2 6 2" xfId="4095"/>
    <cellStyle name="Финансовый 3 3 2 6 3" xfId="5878"/>
    <cellStyle name="Финансовый 3 3 2 7" xfId="1677"/>
    <cellStyle name="Финансовый 3 3 2 7 2" xfId="3322"/>
    <cellStyle name="Финансовый 3 3 2 7 3" xfId="5105"/>
    <cellStyle name="Финансовый 3 3 2 8" xfId="954"/>
    <cellStyle name="Финансовый 3 3 2 9" xfId="542"/>
    <cellStyle name="Финансовый 3 3 3" xfId="85"/>
    <cellStyle name="Финансовый 3 3 3 10" xfId="2695"/>
    <cellStyle name="Финансовый 3 3 3 11" xfId="4339"/>
    <cellStyle name="Финансовый 3 3 3 2" xfId="221"/>
    <cellStyle name="Финансовый 3 3 3 2 2" xfId="1319"/>
    <cellStyle name="Финансовый 3 3 3 2 2 2" xfId="2277"/>
    <cellStyle name="Финансовый 3 3 3 2 2 2 2" xfId="3922"/>
    <cellStyle name="Финансовый 3 3 3 2 2 2 3" xfId="5705"/>
    <cellStyle name="Финансовый 3 3 3 2 2 3" xfId="3103"/>
    <cellStyle name="Финансовый 3 3 3 2 2 4" xfId="4747"/>
    <cellStyle name="Финансовый 3 3 3 2 3" xfId="2021"/>
    <cellStyle name="Финансовый 3 3 3 2 3 2" xfId="3666"/>
    <cellStyle name="Финансовый 3 3 3 2 3 3" xfId="5449"/>
    <cellStyle name="Финансовый 3 3 3 2 4" xfId="2550"/>
    <cellStyle name="Финансовый 3 3 3 2 4 2" xfId="4195"/>
    <cellStyle name="Финансовый 3 3 3 2 4 3" xfId="5978"/>
    <cellStyle name="Финансовый 3 3 3 2 5" xfId="1054"/>
    <cellStyle name="Финансовый 3 3 3 2 6" xfId="642"/>
    <cellStyle name="Финансовый 3 3 3 2 7" xfId="2831"/>
    <cellStyle name="Финансовый 3 3 3 2 8" xfId="4475"/>
    <cellStyle name="Финансовый 3 3 3 3" xfId="370"/>
    <cellStyle name="Финансовый 3 3 3 3 2" xfId="2149"/>
    <cellStyle name="Финансовый 3 3 3 3 2 2" xfId="3794"/>
    <cellStyle name="Финансовый 3 3 3 3 2 3" xfId="5577"/>
    <cellStyle name="Финансовый 3 3 3 3 3" xfId="1183"/>
    <cellStyle name="Финансовый 3 3 3 3 4" xfId="790"/>
    <cellStyle name="Финансовый 3 3 3 3 5" xfId="2967"/>
    <cellStyle name="Финансовый 3 3 3 3 6" xfId="4611"/>
    <cellStyle name="Финансовый 3 3 3 4" xfId="1526"/>
    <cellStyle name="Финансовый 3 3 3 4 2" xfId="1893"/>
    <cellStyle name="Финансовый 3 3 3 4 2 2" xfId="3538"/>
    <cellStyle name="Финансовый 3 3 3 4 2 3" xfId="5321"/>
    <cellStyle name="Финансовый 3 3 3 4 3" xfId="4954"/>
    <cellStyle name="Финансовый 3 3 3 5" xfId="1769"/>
    <cellStyle name="Финансовый 3 3 3 5 2" xfId="3414"/>
    <cellStyle name="Финансовый 3 3 3 5 3" xfId="5197"/>
    <cellStyle name="Финансовый 3 3 3 6" xfId="2414"/>
    <cellStyle name="Финансовый 3 3 3 6 2" xfId="4059"/>
    <cellStyle name="Финансовый 3 3 3 6 3" xfId="5842"/>
    <cellStyle name="Финансовый 3 3 3 7" xfId="1641"/>
    <cellStyle name="Финансовый 3 3 3 7 2" xfId="3286"/>
    <cellStyle name="Финансовый 3 3 3 7 3" xfId="5069"/>
    <cellStyle name="Финансовый 3 3 3 8" xfId="918"/>
    <cellStyle name="Финансовый 3 3 3 9" xfId="506"/>
    <cellStyle name="Финансовый 3 3 4" xfId="177"/>
    <cellStyle name="Финансовый 3 3 4 2" xfId="1275"/>
    <cellStyle name="Финансовый 3 3 4 2 2" xfId="2241"/>
    <cellStyle name="Финансовый 3 3 4 2 2 2" xfId="3886"/>
    <cellStyle name="Финансовый 3 3 4 2 2 3" xfId="5669"/>
    <cellStyle name="Финансовый 3 3 4 2 3" xfId="3059"/>
    <cellStyle name="Финансовый 3 3 4 2 4" xfId="4703"/>
    <cellStyle name="Финансовый 3 3 4 3" xfId="1985"/>
    <cellStyle name="Финансовый 3 3 4 3 2" xfId="3630"/>
    <cellStyle name="Финансовый 3 3 4 3 3" xfId="5413"/>
    <cellStyle name="Финансовый 3 3 4 4" xfId="2506"/>
    <cellStyle name="Финансовый 3 3 4 4 2" xfId="4151"/>
    <cellStyle name="Финансовый 3 3 4 4 3" xfId="5934"/>
    <cellStyle name="Финансовый 3 3 4 5" xfId="1010"/>
    <cellStyle name="Финансовый 3 3 4 6" xfId="598"/>
    <cellStyle name="Финансовый 3 3 4 7" xfId="2787"/>
    <cellStyle name="Финансовый 3 3 4 8" xfId="4431"/>
    <cellStyle name="Финансовый 3 3 5" xfId="326"/>
    <cellStyle name="Финансовый 3 3 5 2" xfId="2113"/>
    <cellStyle name="Финансовый 3 3 5 2 2" xfId="3758"/>
    <cellStyle name="Финансовый 3 3 5 2 3" xfId="5541"/>
    <cellStyle name="Финансовый 3 3 5 3" xfId="1146"/>
    <cellStyle name="Финансовый 3 3 5 4" xfId="746"/>
    <cellStyle name="Финансовый 3 3 5 5" xfId="2923"/>
    <cellStyle name="Финансовый 3 3 5 6" xfId="4567"/>
    <cellStyle name="Финансовый 3 3 6" xfId="1524"/>
    <cellStyle name="Финансовый 3 3 6 2" xfId="1849"/>
    <cellStyle name="Финансовый 3 3 6 2 2" xfId="3494"/>
    <cellStyle name="Финансовый 3 3 6 2 3" xfId="5277"/>
    <cellStyle name="Финансовый 3 3 6 3" xfId="4952"/>
    <cellStyle name="Финансовый 3 3 7" xfId="1733"/>
    <cellStyle name="Финансовый 3 3 7 2" xfId="3378"/>
    <cellStyle name="Финансовый 3 3 7 3" xfId="5161"/>
    <cellStyle name="Финансовый 3 3 8" xfId="2369"/>
    <cellStyle name="Финансовый 3 3 8 2" xfId="4014"/>
    <cellStyle name="Финансовый 3 3 8 3" xfId="5797"/>
    <cellStyle name="Финансовый 3 3 9" xfId="1596"/>
    <cellStyle name="Финансовый 3 3 9 2" xfId="3241"/>
    <cellStyle name="Финансовый 3 3 9 3" xfId="5024"/>
    <cellStyle name="Финансовый 3 4" xfId="91"/>
    <cellStyle name="Финансовый 3 4 10" xfId="2701"/>
    <cellStyle name="Финансовый 3 4 11" xfId="4345"/>
    <cellStyle name="Финансовый 3 4 2" xfId="227"/>
    <cellStyle name="Финансовый 3 4 2 2" xfId="1325"/>
    <cellStyle name="Финансовый 3 4 2 2 2" xfId="2283"/>
    <cellStyle name="Финансовый 3 4 2 2 2 2" xfId="3928"/>
    <cellStyle name="Финансовый 3 4 2 2 2 3" xfId="5711"/>
    <cellStyle name="Финансовый 3 4 2 2 3" xfId="3109"/>
    <cellStyle name="Финансовый 3 4 2 2 4" xfId="4753"/>
    <cellStyle name="Финансовый 3 4 2 3" xfId="2027"/>
    <cellStyle name="Финансовый 3 4 2 3 2" xfId="3672"/>
    <cellStyle name="Финансовый 3 4 2 3 3" xfId="5455"/>
    <cellStyle name="Финансовый 3 4 2 4" xfId="2556"/>
    <cellStyle name="Финансовый 3 4 2 4 2" xfId="4201"/>
    <cellStyle name="Финансовый 3 4 2 4 3" xfId="5984"/>
    <cellStyle name="Финансовый 3 4 2 5" xfId="1060"/>
    <cellStyle name="Финансовый 3 4 2 6" xfId="648"/>
    <cellStyle name="Финансовый 3 4 2 7" xfId="2837"/>
    <cellStyle name="Финансовый 3 4 2 8" xfId="4481"/>
    <cellStyle name="Финансовый 3 4 3" xfId="376"/>
    <cellStyle name="Финансовый 3 4 3 2" xfId="2155"/>
    <cellStyle name="Финансовый 3 4 3 2 2" xfId="3800"/>
    <cellStyle name="Финансовый 3 4 3 2 3" xfId="5583"/>
    <cellStyle name="Финансовый 3 4 3 3" xfId="1189"/>
    <cellStyle name="Финансовый 3 4 3 4" xfId="796"/>
    <cellStyle name="Финансовый 3 4 3 5" xfId="2973"/>
    <cellStyle name="Финансовый 3 4 3 6" xfId="4617"/>
    <cellStyle name="Финансовый 3 4 4" xfId="1527"/>
    <cellStyle name="Финансовый 3 4 4 2" xfId="1899"/>
    <cellStyle name="Финансовый 3 4 4 2 2" xfId="3544"/>
    <cellStyle name="Финансовый 3 4 4 2 3" xfId="5327"/>
    <cellStyle name="Финансовый 3 4 4 3" xfId="4955"/>
    <cellStyle name="Финансовый 3 4 5" xfId="1775"/>
    <cellStyle name="Финансовый 3 4 5 2" xfId="3420"/>
    <cellStyle name="Финансовый 3 4 5 3" xfId="5203"/>
    <cellStyle name="Финансовый 3 4 6" xfId="2420"/>
    <cellStyle name="Финансовый 3 4 6 2" xfId="4065"/>
    <cellStyle name="Финансовый 3 4 6 3" xfId="5848"/>
    <cellStyle name="Финансовый 3 4 7" xfId="1647"/>
    <cellStyle name="Финансовый 3 4 7 2" xfId="3292"/>
    <cellStyle name="Финансовый 3 4 7 3" xfId="5075"/>
    <cellStyle name="Финансовый 3 4 8" xfId="924"/>
    <cellStyle name="Финансовый 3 4 9" xfId="512"/>
    <cellStyle name="Финансовый 3 5" xfId="97"/>
    <cellStyle name="Финансовый 3 5 10" xfId="2707"/>
    <cellStyle name="Финансовый 3 5 11" xfId="4351"/>
    <cellStyle name="Финансовый 3 5 2" xfId="233"/>
    <cellStyle name="Финансовый 3 5 2 2" xfId="1331"/>
    <cellStyle name="Финансовый 3 5 2 2 2" xfId="2289"/>
    <cellStyle name="Финансовый 3 5 2 2 2 2" xfId="3934"/>
    <cellStyle name="Финансовый 3 5 2 2 2 3" xfId="5717"/>
    <cellStyle name="Финансовый 3 5 2 2 3" xfId="3115"/>
    <cellStyle name="Финансовый 3 5 2 2 4" xfId="4759"/>
    <cellStyle name="Финансовый 3 5 2 3" xfId="2033"/>
    <cellStyle name="Финансовый 3 5 2 3 2" xfId="3678"/>
    <cellStyle name="Финансовый 3 5 2 3 3" xfId="5461"/>
    <cellStyle name="Финансовый 3 5 2 4" xfId="2562"/>
    <cellStyle name="Финансовый 3 5 2 4 2" xfId="4207"/>
    <cellStyle name="Финансовый 3 5 2 4 3" xfId="5990"/>
    <cellStyle name="Финансовый 3 5 2 5" xfId="1066"/>
    <cellStyle name="Финансовый 3 5 2 6" xfId="654"/>
    <cellStyle name="Финансовый 3 5 2 7" xfId="2843"/>
    <cellStyle name="Финансовый 3 5 2 8" xfId="4487"/>
    <cellStyle name="Финансовый 3 5 3" xfId="382"/>
    <cellStyle name="Финансовый 3 5 3 2" xfId="2161"/>
    <cellStyle name="Финансовый 3 5 3 2 2" xfId="3806"/>
    <cellStyle name="Финансовый 3 5 3 2 3" xfId="5589"/>
    <cellStyle name="Финансовый 3 5 3 3" xfId="1195"/>
    <cellStyle name="Финансовый 3 5 3 4" xfId="802"/>
    <cellStyle name="Финансовый 3 5 3 5" xfId="2979"/>
    <cellStyle name="Финансовый 3 5 3 6" xfId="4623"/>
    <cellStyle name="Финансовый 3 5 4" xfId="1528"/>
    <cellStyle name="Финансовый 3 5 4 2" xfId="1905"/>
    <cellStyle name="Финансовый 3 5 4 2 2" xfId="3550"/>
    <cellStyle name="Финансовый 3 5 4 2 3" xfId="5333"/>
    <cellStyle name="Финансовый 3 5 4 3" xfId="4956"/>
    <cellStyle name="Финансовый 3 5 5" xfId="1781"/>
    <cellStyle name="Финансовый 3 5 5 2" xfId="3426"/>
    <cellStyle name="Финансовый 3 5 5 3" xfId="5209"/>
    <cellStyle name="Финансовый 3 5 6" xfId="2426"/>
    <cellStyle name="Финансовый 3 5 6 2" xfId="4071"/>
    <cellStyle name="Финансовый 3 5 6 3" xfId="5854"/>
    <cellStyle name="Финансовый 3 5 7" xfId="1653"/>
    <cellStyle name="Финансовый 3 5 7 2" xfId="3298"/>
    <cellStyle name="Финансовый 3 5 7 3" xfId="5081"/>
    <cellStyle name="Финансовый 3 5 8" xfId="930"/>
    <cellStyle name="Финансовый 3 5 9" xfId="518"/>
    <cellStyle name="Финансовый 3 6" xfId="109"/>
    <cellStyle name="Финансовый 3 6 10" xfId="2719"/>
    <cellStyle name="Финансовый 3 6 11" xfId="4363"/>
    <cellStyle name="Финансовый 3 6 2" xfId="245"/>
    <cellStyle name="Финансовый 3 6 2 2" xfId="1343"/>
    <cellStyle name="Финансовый 3 6 2 2 2" xfId="2301"/>
    <cellStyle name="Финансовый 3 6 2 2 2 2" xfId="3946"/>
    <cellStyle name="Финансовый 3 6 2 2 2 3" xfId="5729"/>
    <cellStyle name="Финансовый 3 6 2 2 3" xfId="3127"/>
    <cellStyle name="Финансовый 3 6 2 2 4" xfId="4771"/>
    <cellStyle name="Финансовый 3 6 2 3" xfId="2045"/>
    <cellStyle name="Финансовый 3 6 2 3 2" xfId="3690"/>
    <cellStyle name="Финансовый 3 6 2 3 3" xfId="5473"/>
    <cellStyle name="Финансовый 3 6 2 4" xfId="2574"/>
    <cellStyle name="Финансовый 3 6 2 4 2" xfId="4219"/>
    <cellStyle name="Финансовый 3 6 2 4 3" xfId="6002"/>
    <cellStyle name="Финансовый 3 6 2 5" xfId="1078"/>
    <cellStyle name="Финансовый 3 6 2 6" xfId="666"/>
    <cellStyle name="Финансовый 3 6 2 7" xfId="2855"/>
    <cellStyle name="Финансовый 3 6 2 8" xfId="4499"/>
    <cellStyle name="Финансовый 3 6 3" xfId="394"/>
    <cellStyle name="Финансовый 3 6 3 2" xfId="2173"/>
    <cellStyle name="Финансовый 3 6 3 2 2" xfId="3818"/>
    <cellStyle name="Финансовый 3 6 3 2 3" xfId="5601"/>
    <cellStyle name="Финансовый 3 6 3 3" xfId="1207"/>
    <cellStyle name="Финансовый 3 6 3 4" xfId="814"/>
    <cellStyle name="Финансовый 3 6 3 5" xfId="2991"/>
    <cellStyle name="Финансовый 3 6 3 6" xfId="4635"/>
    <cellStyle name="Финансовый 3 6 4" xfId="1529"/>
    <cellStyle name="Финансовый 3 6 4 2" xfId="1917"/>
    <cellStyle name="Финансовый 3 6 4 2 2" xfId="3562"/>
    <cellStyle name="Финансовый 3 6 4 2 3" xfId="5345"/>
    <cellStyle name="Финансовый 3 6 4 3" xfId="4957"/>
    <cellStyle name="Финансовый 3 6 5" xfId="1793"/>
    <cellStyle name="Финансовый 3 6 5 2" xfId="3438"/>
    <cellStyle name="Финансовый 3 6 5 3" xfId="5221"/>
    <cellStyle name="Финансовый 3 6 6" xfId="2438"/>
    <cellStyle name="Финансовый 3 6 6 2" xfId="4083"/>
    <cellStyle name="Финансовый 3 6 6 3" xfId="5866"/>
    <cellStyle name="Финансовый 3 6 7" xfId="1665"/>
    <cellStyle name="Финансовый 3 6 7 2" xfId="3310"/>
    <cellStyle name="Финансовый 3 6 7 3" xfId="5093"/>
    <cellStyle name="Финансовый 3 6 8" xfId="942"/>
    <cellStyle name="Финансовый 3 6 9" xfId="530"/>
    <cellStyle name="Финансовый 3 7" xfId="74"/>
    <cellStyle name="Финансовый 3 7 10" xfId="2684"/>
    <cellStyle name="Финансовый 3 7 11" xfId="4328"/>
    <cellStyle name="Финансовый 3 7 2" xfId="210"/>
    <cellStyle name="Финансовый 3 7 2 2" xfId="1308"/>
    <cellStyle name="Финансовый 3 7 2 2 2" xfId="2266"/>
    <cellStyle name="Финансовый 3 7 2 2 2 2" xfId="3911"/>
    <cellStyle name="Финансовый 3 7 2 2 2 3" xfId="5694"/>
    <cellStyle name="Финансовый 3 7 2 2 3" xfId="3092"/>
    <cellStyle name="Финансовый 3 7 2 2 4" xfId="4736"/>
    <cellStyle name="Финансовый 3 7 2 3" xfId="2010"/>
    <cellStyle name="Финансовый 3 7 2 3 2" xfId="3655"/>
    <cellStyle name="Финансовый 3 7 2 3 3" xfId="5438"/>
    <cellStyle name="Финансовый 3 7 2 4" xfId="2539"/>
    <cellStyle name="Финансовый 3 7 2 4 2" xfId="4184"/>
    <cellStyle name="Финансовый 3 7 2 4 3" xfId="5967"/>
    <cellStyle name="Финансовый 3 7 2 5" xfId="1043"/>
    <cellStyle name="Финансовый 3 7 2 6" xfId="631"/>
    <cellStyle name="Финансовый 3 7 2 7" xfId="2820"/>
    <cellStyle name="Финансовый 3 7 2 8" xfId="4464"/>
    <cellStyle name="Финансовый 3 7 3" xfId="359"/>
    <cellStyle name="Финансовый 3 7 3 2" xfId="2138"/>
    <cellStyle name="Финансовый 3 7 3 2 2" xfId="3783"/>
    <cellStyle name="Финансовый 3 7 3 2 3" xfId="5566"/>
    <cellStyle name="Финансовый 3 7 3 3" xfId="1172"/>
    <cellStyle name="Финансовый 3 7 3 4" xfId="779"/>
    <cellStyle name="Финансовый 3 7 3 5" xfId="2956"/>
    <cellStyle name="Финансовый 3 7 3 6" xfId="4600"/>
    <cellStyle name="Финансовый 3 7 4" xfId="1530"/>
    <cellStyle name="Финансовый 3 7 4 2" xfId="1882"/>
    <cellStyle name="Финансовый 3 7 4 2 2" xfId="3527"/>
    <cellStyle name="Финансовый 3 7 4 2 3" xfId="5310"/>
    <cellStyle name="Финансовый 3 7 4 3" xfId="4958"/>
    <cellStyle name="Финансовый 3 7 5" xfId="1758"/>
    <cellStyle name="Финансовый 3 7 5 2" xfId="3403"/>
    <cellStyle name="Финансовый 3 7 5 3" xfId="5186"/>
    <cellStyle name="Финансовый 3 7 6" xfId="2403"/>
    <cellStyle name="Финансовый 3 7 6 2" xfId="4048"/>
    <cellStyle name="Финансовый 3 7 6 3" xfId="5831"/>
    <cellStyle name="Финансовый 3 7 7" xfId="1630"/>
    <cellStyle name="Финансовый 3 7 7 2" xfId="3275"/>
    <cellStyle name="Финансовый 3 7 7 3" xfId="5058"/>
    <cellStyle name="Финансовый 3 7 8" xfId="907"/>
    <cellStyle name="Финансовый 3 7 9" xfId="495"/>
    <cellStyle name="Финансовый 3 8" xfId="51"/>
    <cellStyle name="Финансовый 3 8 10" xfId="2663"/>
    <cellStyle name="Финансовый 3 8 11" xfId="4306"/>
    <cellStyle name="Финансовый 3 8 2" xfId="189"/>
    <cellStyle name="Финансовый 3 8 2 2" xfId="1287"/>
    <cellStyle name="Финансовый 3 8 2 2 2" xfId="2253"/>
    <cellStyle name="Финансовый 3 8 2 2 2 2" xfId="3898"/>
    <cellStyle name="Финансовый 3 8 2 2 2 3" xfId="5681"/>
    <cellStyle name="Финансовый 3 8 2 2 3" xfId="3071"/>
    <cellStyle name="Финансовый 3 8 2 2 4" xfId="4715"/>
    <cellStyle name="Финансовый 3 8 2 3" xfId="1997"/>
    <cellStyle name="Финансовый 3 8 2 3 2" xfId="3642"/>
    <cellStyle name="Финансовый 3 8 2 3 3" xfId="5425"/>
    <cellStyle name="Финансовый 3 8 2 4" xfId="2518"/>
    <cellStyle name="Финансовый 3 8 2 4 2" xfId="4163"/>
    <cellStyle name="Финансовый 3 8 2 4 3" xfId="5946"/>
    <cellStyle name="Финансовый 3 8 2 5" xfId="1022"/>
    <cellStyle name="Финансовый 3 8 2 6" xfId="610"/>
    <cellStyle name="Финансовый 3 8 2 7" xfId="2799"/>
    <cellStyle name="Финансовый 3 8 2 8" xfId="4443"/>
    <cellStyle name="Финансовый 3 8 3" xfId="338"/>
    <cellStyle name="Финансовый 3 8 3 2" xfId="2125"/>
    <cellStyle name="Финансовый 3 8 3 2 2" xfId="3770"/>
    <cellStyle name="Финансовый 3 8 3 2 3" xfId="5553"/>
    <cellStyle name="Финансовый 3 8 3 3" xfId="1158"/>
    <cellStyle name="Финансовый 3 8 3 4" xfId="758"/>
    <cellStyle name="Финансовый 3 8 3 5" xfId="2935"/>
    <cellStyle name="Финансовый 3 8 3 6" xfId="4579"/>
    <cellStyle name="Финансовый 3 8 4" xfId="1420"/>
    <cellStyle name="Финансовый 3 8 4 2" xfId="1861"/>
    <cellStyle name="Финансовый 3 8 4 2 2" xfId="3506"/>
    <cellStyle name="Финансовый 3 8 4 2 3" xfId="5289"/>
    <cellStyle name="Финансовый 3 8 4 3" xfId="4848"/>
    <cellStyle name="Финансовый 3 8 5" xfId="1745"/>
    <cellStyle name="Финансовый 3 8 5 2" xfId="3390"/>
    <cellStyle name="Финансовый 3 8 5 3" xfId="5173"/>
    <cellStyle name="Финансовый 3 8 6" xfId="2381"/>
    <cellStyle name="Финансовый 3 8 6 2" xfId="4026"/>
    <cellStyle name="Финансовый 3 8 6 3" xfId="5809"/>
    <cellStyle name="Финансовый 3 8 7" xfId="1608"/>
    <cellStyle name="Финансовый 3 8 7 2" xfId="3253"/>
    <cellStyle name="Финансовый 3 8 7 3" xfId="5036"/>
    <cellStyle name="Финансовый 3 8 8" xfId="894"/>
    <cellStyle name="Финансовый 3 8 9" xfId="474"/>
    <cellStyle name="Финансовый 3 9" xfId="129"/>
    <cellStyle name="Финансовый 3 9 10" xfId="2739"/>
    <cellStyle name="Финансовый 3 9 11" xfId="4383"/>
    <cellStyle name="Финансовый 3 9 2" xfId="265"/>
    <cellStyle name="Финансовый 3 9 2 2" xfId="1363"/>
    <cellStyle name="Финансовый 3 9 2 2 2" xfId="2321"/>
    <cellStyle name="Финансовый 3 9 2 2 2 2" xfId="3966"/>
    <cellStyle name="Финансовый 3 9 2 2 2 3" xfId="5749"/>
    <cellStyle name="Финансовый 3 9 2 2 3" xfId="3147"/>
    <cellStyle name="Финансовый 3 9 2 2 4" xfId="4791"/>
    <cellStyle name="Финансовый 3 9 2 3" xfId="2065"/>
    <cellStyle name="Финансовый 3 9 2 3 2" xfId="3710"/>
    <cellStyle name="Финансовый 3 9 2 3 3" xfId="5493"/>
    <cellStyle name="Финансовый 3 9 2 4" xfId="2594"/>
    <cellStyle name="Финансовый 3 9 2 4 2" xfId="4239"/>
    <cellStyle name="Финансовый 3 9 2 4 3" xfId="6022"/>
    <cellStyle name="Финансовый 3 9 2 5" xfId="1098"/>
    <cellStyle name="Финансовый 3 9 2 6" xfId="686"/>
    <cellStyle name="Финансовый 3 9 2 7" xfId="2875"/>
    <cellStyle name="Финансовый 3 9 2 8" xfId="4519"/>
    <cellStyle name="Финансовый 3 9 3" xfId="414"/>
    <cellStyle name="Финансовый 3 9 3 2" xfId="2193"/>
    <cellStyle name="Финансовый 3 9 3 2 2" xfId="3838"/>
    <cellStyle name="Финансовый 3 9 3 2 3" xfId="5621"/>
    <cellStyle name="Финансовый 3 9 3 3" xfId="1227"/>
    <cellStyle name="Финансовый 3 9 3 4" xfId="834"/>
    <cellStyle name="Финансовый 3 9 3 5" xfId="3011"/>
    <cellStyle name="Финансовый 3 9 3 6" xfId="4655"/>
    <cellStyle name="Финансовый 3 9 4" xfId="1423"/>
    <cellStyle name="Финансовый 3 9 4 2" xfId="1937"/>
    <cellStyle name="Финансовый 3 9 4 2 2" xfId="3582"/>
    <cellStyle name="Финансовый 3 9 4 2 3" xfId="5365"/>
    <cellStyle name="Финансовый 3 9 4 3" xfId="4851"/>
    <cellStyle name="Финансовый 3 9 5" xfId="1813"/>
    <cellStyle name="Финансовый 3 9 5 2" xfId="3458"/>
    <cellStyle name="Финансовый 3 9 5 3" xfId="5241"/>
    <cellStyle name="Финансовый 3 9 6" xfId="2458"/>
    <cellStyle name="Финансовый 3 9 6 2" xfId="4103"/>
    <cellStyle name="Финансовый 3 9 6 3" xfId="5886"/>
    <cellStyle name="Финансовый 3 9 7" xfId="1685"/>
    <cellStyle name="Финансовый 3 9 7 2" xfId="3330"/>
    <cellStyle name="Финансовый 3 9 7 3" xfId="5113"/>
    <cellStyle name="Финансовый 3 9 8" xfId="962"/>
    <cellStyle name="Финансовый 3 9 9" xfId="550"/>
    <cellStyle name="Финансовый 30" xfId="1620"/>
    <cellStyle name="Финансовый 30 2" xfId="3265"/>
    <cellStyle name="Финансовый 30 3" xfId="5048"/>
    <cellStyle name="Финансовый 31" xfId="844"/>
    <cellStyle name="Финансовый 32" xfId="1171"/>
    <cellStyle name="Финансовый 33" xfId="2612"/>
    <cellStyle name="Финансовый 34" xfId="2611"/>
    <cellStyle name="Финансовый 35" xfId="424"/>
    <cellStyle name="Финансовый 36" xfId="2613"/>
    <cellStyle name="Финансовый 37" xfId="3202"/>
    <cellStyle name="Финансовый 38" xfId="4256"/>
    <cellStyle name="Финансовый 39" xfId="4318"/>
    <cellStyle name="Финансовый 4" xfId="5"/>
    <cellStyle name="Финансовый 4 10" xfId="29"/>
    <cellStyle name="Финансовый 4 10 10" xfId="2641"/>
    <cellStyle name="Финансовый 4 10 11" xfId="4284"/>
    <cellStyle name="Финансовый 4 10 2" xfId="167"/>
    <cellStyle name="Финансовый 4 10 2 2" xfId="1265"/>
    <cellStyle name="Финансовый 4 10 2 2 2" xfId="2231"/>
    <cellStyle name="Финансовый 4 10 2 2 2 2" xfId="3876"/>
    <cellStyle name="Финансовый 4 10 2 2 2 3" xfId="5659"/>
    <cellStyle name="Финансовый 4 10 2 2 3" xfId="3049"/>
    <cellStyle name="Финансовый 4 10 2 2 4" xfId="4693"/>
    <cellStyle name="Финансовый 4 10 2 3" xfId="1975"/>
    <cellStyle name="Финансовый 4 10 2 3 2" xfId="3620"/>
    <cellStyle name="Финансовый 4 10 2 3 3" xfId="5403"/>
    <cellStyle name="Финансовый 4 10 2 4" xfId="2496"/>
    <cellStyle name="Финансовый 4 10 2 4 2" xfId="4141"/>
    <cellStyle name="Финансовый 4 10 2 4 3" xfId="5924"/>
    <cellStyle name="Финансовый 4 10 2 5" xfId="1000"/>
    <cellStyle name="Финансовый 4 10 2 6" xfId="588"/>
    <cellStyle name="Финансовый 4 10 2 7" xfId="2777"/>
    <cellStyle name="Финансовый 4 10 2 8" xfId="4421"/>
    <cellStyle name="Финансовый 4 10 3" xfId="316"/>
    <cellStyle name="Финансовый 4 10 3 2" xfId="2103"/>
    <cellStyle name="Финансовый 4 10 3 2 2" xfId="3748"/>
    <cellStyle name="Финансовый 4 10 3 2 3" xfId="5531"/>
    <cellStyle name="Финансовый 4 10 3 3" xfId="1136"/>
    <cellStyle name="Финансовый 4 10 3 4" xfId="736"/>
    <cellStyle name="Финансовый 4 10 3 5" xfId="2913"/>
    <cellStyle name="Финансовый 4 10 3 6" xfId="4557"/>
    <cellStyle name="Финансовый 4 10 4" xfId="1532"/>
    <cellStyle name="Финансовый 4 10 4 2" xfId="1839"/>
    <cellStyle name="Финансовый 4 10 4 2 2" xfId="3484"/>
    <cellStyle name="Финансовый 4 10 4 2 3" xfId="5267"/>
    <cellStyle name="Финансовый 4 10 4 3" xfId="4960"/>
    <cellStyle name="Финансовый 4 10 5" xfId="1723"/>
    <cellStyle name="Финансовый 4 10 5 2" xfId="3368"/>
    <cellStyle name="Финансовый 4 10 5 3" xfId="5151"/>
    <cellStyle name="Финансовый 4 10 6" xfId="2359"/>
    <cellStyle name="Финансовый 4 10 6 2" xfId="4004"/>
    <cellStyle name="Финансовый 4 10 6 3" xfId="5787"/>
    <cellStyle name="Финансовый 4 10 7" xfId="1586"/>
    <cellStyle name="Финансовый 4 10 7 2" xfId="3231"/>
    <cellStyle name="Финансовый 4 10 7 3" xfId="5014"/>
    <cellStyle name="Финансовый 4 10 8" xfId="872"/>
    <cellStyle name="Финансовый 4 10 9" xfId="452"/>
    <cellStyle name="Финансовый 4 11" xfId="17"/>
    <cellStyle name="Финансовый 4 11 10" xfId="2629"/>
    <cellStyle name="Финансовый 4 11 11" xfId="4272"/>
    <cellStyle name="Финансовый 4 11 2" xfId="155"/>
    <cellStyle name="Финансовый 4 11 2 2" xfId="1253"/>
    <cellStyle name="Финансовый 4 11 2 2 2" xfId="2219"/>
    <cellStyle name="Финансовый 4 11 2 2 2 2" xfId="3864"/>
    <cellStyle name="Финансовый 4 11 2 2 2 3" xfId="5647"/>
    <cellStyle name="Финансовый 4 11 2 2 3" xfId="3037"/>
    <cellStyle name="Финансовый 4 11 2 2 4" xfId="4681"/>
    <cellStyle name="Финансовый 4 11 2 3" xfId="1963"/>
    <cellStyle name="Финансовый 4 11 2 3 2" xfId="3608"/>
    <cellStyle name="Финансовый 4 11 2 3 3" xfId="5391"/>
    <cellStyle name="Финансовый 4 11 2 4" xfId="2484"/>
    <cellStyle name="Финансовый 4 11 2 4 2" xfId="4129"/>
    <cellStyle name="Финансовый 4 11 2 4 3" xfId="5912"/>
    <cellStyle name="Финансовый 4 11 2 5" xfId="988"/>
    <cellStyle name="Финансовый 4 11 2 6" xfId="576"/>
    <cellStyle name="Финансовый 4 11 2 7" xfId="2765"/>
    <cellStyle name="Финансовый 4 11 2 8" xfId="4409"/>
    <cellStyle name="Финансовый 4 11 3" xfId="304"/>
    <cellStyle name="Финансовый 4 11 3 2" xfId="2091"/>
    <cellStyle name="Финансовый 4 11 3 2 2" xfId="3736"/>
    <cellStyle name="Финансовый 4 11 3 2 3" xfId="5519"/>
    <cellStyle name="Финансовый 4 11 3 3" xfId="1124"/>
    <cellStyle name="Финансовый 4 11 3 4" xfId="724"/>
    <cellStyle name="Финансовый 4 11 3 5" xfId="2901"/>
    <cellStyle name="Финансовый 4 11 3 6" xfId="4545"/>
    <cellStyle name="Финансовый 4 11 4" xfId="1533"/>
    <cellStyle name="Финансовый 4 11 4 2" xfId="1827"/>
    <cellStyle name="Финансовый 4 11 4 2 2" xfId="3472"/>
    <cellStyle name="Финансовый 4 11 4 2 3" xfId="5255"/>
    <cellStyle name="Финансовый 4 11 4 3" xfId="4961"/>
    <cellStyle name="Финансовый 4 11 5" xfId="1711"/>
    <cellStyle name="Финансовый 4 11 5 2" xfId="3356"/>
    <cellStyle name="Финансовый 4 11 5 3" xfId="5139"/>
    <cellStyle name="Финансовый 4 11 6" xfId="2347"/>
    <cellStyle name="Финансовый 4 11 6 2" xfId="3992"/>
    <cellStyle name="Финансовый 4 11 6 3" xfId="5775"/>
    <cellStyle name="Финансовый 4 11 7" xfId="1574"/>
    <cellStyle name="Финансовый 4 11 7 2" xfId="3219"/>
    <cellStyle name="Финансовый 4 11 7 3" xfId="5002"/>
    <cellStyle name="Финансовый 4 11 8" xfId="860"/>
    <cellStyle name="Финансовый 4 11 9" xfId="440"/>
    <cellStyle name="Финансовый 4 12" xfId="143"/>
    <cellStyle name="Финансовый 4 12 2" xfId="1241"/>
    <cellStyle name="Финансовый 4 12 2 2" xfId="2207"/>
    <cellStyle name="Финансовый 4 12 2 2 2" xfId="3852"/>
    <cellStyle name="Финансовый 4 12 2 2 3" xfId="5635"/>
    <cellStyle name="Финансовый 4 12 2 3" xfId="3025"/>
    <cellStyle name="Финансовый 4 12 2 4" xfId="4669"/>
    <cellStyle name="Финансовый 4 12 3" xfId="1951"/>
    <cellStyle name="Финансовый 4 12 3 2" xfId="3596"/>
    <cellStyle name="Финансовый 4 12 3 3" xfId="5379"/>
    <cellStyle name="Финансовый 4 12 4" xfId="2472"/>
    <cellStyle name="Финансовый 4 12 4 2" xfId="4117"/>
    <cellStyle name="Финансовый 4 12 4 3" xfId="5900"/>
    <cellStyle name="Финансовый 4 12 5" xfId="976"/>
    <cellStyle name="Финансовый 4 12 6" xfId="564"/>
    <cellStyle name="Финансовый 4 12 7" xfId="2753"/>
    <cellStyle name="Финансовый 4 12 8" xfId="4397"/>
    <cellStyle name="Финансовый 4 13" xfId="279"/>
    <cellStyle name="Финансовый 4 13 2" xfId="2079"/>
    <cellStyle name="Финансовый 4 13 2 2" xfId="3724"/>
    <cellStyle name="Финансовый 4 13 2 3" xfId="5507"/>
    <cellStyle name="Финансовый 4 13 3" xfId="1377"/>
    <cellStyle name="Финансовый 4 13 4" xfId="700"/>
    <cellStyle name="Финансовый 4 13 5" xfId="3161"/>
    <cellStyle name="Финансовый 4 13 6" xfId="4805"/>
    <cellStyle name="Финансовый 4 14" xfId="292"/>
    <cellStyle name="Финансовый 4 14 2" xfId="1112"/>
    <cellStyle name="Финансовый 4 14 3" xfId="712"/>
    <cellStyle name="Финансовый 4 14 4" xfId="2889"/>
    <cellStyle name="Финансовый 4 14 5" xfId="4533"/>
    <cellStyle name="Финансовый 4 15" xfId="1531"/>
    <cellStyle name="Финансовый 4 15 2" xfId="1699"/>
    <cellStyle name="Финансовый 4 15 2 2" xfId="3344"/>
    <cellStyle name="Финансовый 4 15 2 3" xfId="5127"/>
    <cellStyle name="Финансовый 4 15 3" xfId="4959"/>
    <cellStyle name="Финансовый 4 16" xfId="2335"/>
    <cellStyle name="Финансовый 4 16 2" xfId="3980"/>
    <cellStyle name="Финансовый 4 16 3" xfId="5763"/>
    <cellStyle name="Финансовый 4 17" xfId="1562"/>
    <cellStyle name="Финансовый 4 17 2" xfId="3207"/>
    <cellStyle name="Финансовый 4 17 3" xfId="4990"/>
    <cellStyle name="Финансовый 4 18" xfId="848"/>
    <cellStyle name="Финансовый 4 19" xfId="428"/>
    <cellStyle name="Финансовый 4 2" xfId="11"/>
    <cellStyle name="Финансовый 4 2 10" xfId="285"/>
    <cellStyle name="Финансовый 4 2 10 2" xfId="2085"/>
    <cellStyle name="Финансовый 4 2 10 2 2" xfId="3730"/>
    <cellStyle name="Финансовый 4 2 10 2 3" xfId="5513"/>
    <cellStyle name="Финансовый 4 2 10 3" xfId="1383"/>
    <cellStyle name="Финансовый 4 2 10 4" xfId="706"/>
    <cellStyle name="Финансовый 4 2 10 5" xfId="3167"/>
    <cellStyle name="Финансовый 4 2 10 6" xfId="4811"/>
    <cellStyle name="Финансовый 4 2 11" xfId="298"/>
    <cellStyle name="Финансовый 4 2 11 2" xfId="1118"/>
    <cellStyle name="Финансовый 4 2 11 3" xfId="718"/>
    <cellStyle name="Финансовый 4 2 11 4" xfId="2895"/>
    <cellStyle name="Финансовый 4 2 11 5" xfId="4539"/>
    <cellStyle name="Финансовый 4 2 12" xfId="1534"/>
    <cellStyle name="Финансовый 4 2 12 2" xfId="1705"/>
    <cellStyle name="Финансовый 4 2 12 2 2" xfId="3350"/>
    <cellStyle name="Финансовый 4 2 12 2 3" xfId="5133"/>
    <cellStyle name="Финансовый 4 2 12 3" xfId="4962"/>
    <cellStyle name="Финансовый 4 2 13" xfId="2341"/>
    <cellStyle name="Финансовый 4 2 13 2" xfId="3986"/>
    <cellStyle name="Финансовый 4 2 13 3" xfId="5769"/>
    <cellStyle name="Финансовый 4 2 14" xfId="1568"/>
    <cellStyle name="Финансовый 4 2 14 2" xfId="3213"/>
    <cellStyle name="Финансовый 4 2 14 3" xfId="4996"/>
    <cellStyle name="Финансовый 4 2 15" xfId="854"/>
    <cellStyle name="Финансовый 4 2 16" xfId="434"/>
    <cellStyle name="Финансовый 4 2 17" xfId="2623"/>
    <cellStyle name="Финансовый 4 2 18" xfId="4266"/>
    <cellStyle name="Финансовый 4 2 2" xfId="47"/>
    <cellStyle name="Финансовый 4 2 2 10" xfId="470"/>
    <cellStyle name="Финансовый 4 2 2 11" xfId="2659"/>
    <cellStyle name="Финансовый 4 2 2 12" xfId="4302"/>
    <cellStyle name="Финансовый 4 2 2 2" xfId="105"/>
    <cellStyle name="Финансовый 4 2 2 2 10" xfId="2715"/>
    <cellStyle name="Финансовый 4 2 2 2 11" xfId="4359"/>
    <cellStyle name="Финансовый 4 2 2 2 2" xfId="241"/>
    <cellStyle name="Финансовый 4 2 2 2 2 2" xfId="1339"/>
    <cellStyle name="Финансовый 4 2 2 2 2 2 2" xfId="2297"/>
    <cellStyle name="Финансовый 4 2 2 2 2 2 2 2" xfId="3942"/>
    <cellStyle name="Финансовый 4 2 2 2 2 2 2 3" xfId="5725"/>
    <cellStyle name="Финансовый 4 2 2 2 2 2 3" xfId="3123"/>
    <cellStyle name="Финансовый 4 2 2 2 2 2 4" xfId="4767"/>
    <cellStyle name="Финансовый 4 2 2 2 2 3" xfId="2041"/>
    <cellStyle name="Финансовый 4 2 2 2 2 3 2" xfId="3686"/>
    <cellStyle name="Финансовый 4 2 2 2 2 3 3" xfId="5469"/>
    <cellStyle name="Финансовый 4 2 2 2 2 4" xfId="2570"/>
    <cellStyle name="Финансовый 4 2 2 2 2 4 2" xfId="4215"/>
    <cellStyle name="Финансовый 4 2 2 2 2 4 3" xfId="5998"/>
    <cellStyle name="Финансовый 4 2 2 2 2 5" xfId="1074"/>
    <cellStyle name="Финансовый 4 2 2 2 2 6" xfId="662"/>
    <cellStyle name="Финансовый 4 2 2 2 2 7" xfId="2851"/>
    <cellStyle name="Финансовый 4 2 2 2 2 8" xfId="4495"/>
    <cellStyle name="Финансовый 4 2 2 2 3" xfId="390"/>
    <cellStyle name="Финансовый 4 2 2 2 3 2" xfId="2169"/>
    <cellStyle name="Финансовый 4 2 2 2 3 2 2" xfId="3814"/>
    <cellStyle name="Финансовый 4 2 2 2 3 2 3" xfId="5597"/>
    <cellStyle name="Финансовый 4 2 2 2 3 3" xfId="1203"/>
    <cellStyle name="Финансовый 4 2 2 2 3 4" xfId="810"/>
    <cellStyle name="Финансовый 4 2 2 2 3 5" xfId="2987"/>
    <cellStyle name="Финансовый 4 2 2 2 3 6" xfId="4631"/>
    <cellStyle name="Финансовый 4 2 2 2 4" xfId="1427"/>
    <cellStyle name="Финансовый 4 2 2 2 4 2" xfId="1913"/>
    <cellStyle name="Финансовый 4 2 2 2 4 2 2" xfId="3558"/>
    <cellStyle name="Финансовый 4 2 2 2 4 2 3" xfId="5341"/>
    <cellStyle name="Финансовый 4 2 2 2 4 3" xfId="4855"/>
    <cellStyle name="Финансовый 4 2 2 2 5" xfId="1789"/>
    <cellStyle name="Финансовый 4 2 2 2 5 2" xfId="3434"/>
    <cellStyle name="Финансовый 4 2 2 2 5 3" xfId="5217"/>
    <cellStyle name="Финансовый 4 2 2 2 6" xfId="2434"/>
    <cellStyle name="Финансовый 4 2 2 2 6 2" xfId="4079"/>
    <cellStyle name="Финансовый 4 2 2 2 6 3" xfId="5862"/>
    <cellStyle name="Финансовый 4 2 2 2 7" xfId="1661"/>
    <cellStyle name="Финансовый 4 2 2 2 7 2" xfId="3306"/>
    <cellStyle name="Финансовый 4 2 2 2 7 3" xfId="5089"/>
    <cellStyle name="Финансовый 4 2 2 2 8" xfId="938"/>
    <cellStyle name="Финансовый 4 2 2 2 9" xfId="526"/>
    <cellStyle name="Финансовый 4 2 2 3" xfId="185"/>
    <cellStyle name="Финансовый 4 2 2 3 2" xfId="1283"/>
    <cellStyle name="Финансовый 4 2 2 3 2 2" xfId="2249"/>
    <cellStyle name="Финансовый 4 2 2 3 2 2 2" xfId="3894"/>
    <cellStyle name="Финансовый 4 2 2 3 2 2 3" xfId="5677"/>
    <cellStyle name="Финансовый 4 2 2 3 2 3" xfId="3067"/>
    <cellStyle name="Финансовый 4 2 2 3 2 4" xfId="4711"/>
    <cellStyle name="Финансовый 4 2 2 3 3" xfId="1993"/>
    <cellStyle name="Финансовый 4 2 2 3 3 2" xfId="3638"/>
    <cellStyle name="Финансовый 4 2 2 3 3 3" xfId="5421"/>
    <cellStyle name="Финансовый 4 2 2 3 4" xfId="2514"/>
    <cellStyle name="Финансовый 4 2 2 3 4 2" xfId="4159"/>
    <cellStyle name="Финансовый 4 2 2 3 4 3" xfId="5942"/>
    <cellStyle name="Финансовый 4 2 2 3 5" xfId="1018"/>
    <cellStyle name="Финансовый 4 2 2 3 6" xfId="606"/>
    <cellStyle name="Финансовый 4 2 2 3 7" xfId="2795"/>
    <cellStyle name="Финансовый 4 2 2 3 8" xfId="4439"/>
    <cellStyle name="Финансовый 4 2 2 4" xfId="334"/>
    <cellStyle name="Финансовый 4 2 2 4 2" xfId="2121"/>
    <cellStyle name="Финансовый 4 2 2 4 2 2" xfId="3766"/>
    <cellStyle name="Финансовый 4 2 2 4 2 3" xfId="5549"/>
    <cellStyle name="Финансовый 4 2 2 4 3" xfId="1154"/>
    <cellStyle name="Финансовый 4 2 2 4 4" xfId="754"/>
    <cellStyle name="Финансовый 4 2 2 4 5" xfId="2931"/>
    <cellStyle name="Финансовый 4 2 2 4 6" xfId="4575"/>
    <cellStyle name="Финансовый 4 2 2 5" xfId="1535"/>
    <cellStyle name="Финансовый 4 2 2 5 2" xfId="1857"/>
    <cellStyle name="Финансовый 4 2 2 5 2 2" xfId="3502"/>
    <cellStyle name="Финансовый 4 2 2 5 2 3" xfId="5285"/>
    <cellStyle name="Финансовый 4 2 2 5 3" xfId="4963"/>
    <cellStyle name="Финансовый 4 2 2 6" xfId="1741"/>
    <cellStyle name="Финансовый 4 2 2 6 2" xfId="3386"/>
    <cellStyle name="Финансовый 4 2 2 6 3" xfId="5169"/>
    <cellStyle name="Финансовый 4 2 2 7" xfId="2377"/>
    <cellStyle name="Финансовый 4 2 2 7 2" xfId="4022"/>
    <cellStyle name="Финансовый 4 2 2 7 3" xfId="5805"/>
    <cellStyle name="Финансовый 4 2 2 8" xfId="1604"/>
    <cellStyle name="Финансовый 4 2 2 8 2" xfId="3249"/>
    <cellStyle name="Финансовый 4 2 2 8 3" xfId="5032"/>
    <cellStyle name="Финансовый 4 2 2 9" xfId="890"/>
    <cellStyle name="Финансовый 4 2 3" xfId="117"/>
    <cellStyle name="Финансовый 4 2 3 10" xfId="2727"/>
    <cellStyle name="Финансовый 4 2 3 11" xfId="4371"/>
    <cellStyle name="Финансовый 4 2 3 2" xfId="253"/>
    <cellStyle name="Финансовый 4 2 3 2 2" xfId="1351"/>
    <cellStyle name="Финансовый 4 2 3 2 2 2" xfId="2309"/>
    <cellStyle name="Финансовый 4 2 3 2 2 2 2" xfId="3954"/>
    <cellStyle name="Финансовый 4 2 3 2 2 2 3" xfId="5737"/>
    <cellStyle name="Финансовый 4 2 3 2 2 3" xfId="3135"/>
    <cellStyle name="Финансовый 4 2 3 2 2 4" xfId="4779"/>
    <cellStyle name="Финансовый 4 2 3 2 3" xfId="2053"/>
    <cellStyle name="Финансовый 4 2 3 2 3 2" xfId="3698"/>
    <cellStyle name="Финансовый 4 2 3 2 3 3" xfId="5481"/>
    <cellStyle name="Финансовый 4 2 3 2 4" xfId="2582"/>
    <cellStyle name="Финансовый 4 2 3 2 4 2" xfId="4227"/>
    <cellStyle name="Финансовый 4 2 3 2 4 3" xfId="6010"/>
    <cellStyle name="Финансовый 4 2 3 2 5" xfId="1086"/>
    <cellStyle name="Финансовый 4 2 3 2 6" xfId="674"/>
    <cellStyle name="Финансовый 4 2 3 2 7" xfId="2863"/>
    <cellStyle name="Финансовый 4 2 3 2 8" xfId="4507"/>
    <cellStyle name="Финансовый 4 2 3 3" xfId="402"/>
    <cellStyle name="Финансовый 4 2 3 3 2" xfId="2181"/>
    <cellStyle name="Финансовый 4 2 3 3 2 2" xfId="3826"/>
    <cellStyle name="Финансовый 4 2 3 3 2 3" xfId="5609"/>
    <cellStyle name="Финансовый 4 2 3 3 3" xfId="1215"/>
    <cellStyle name="Финансовый 4 2 3 3 4" xfId="822"/>
    <cellStyle name="Финансовый 4 2 3 3 5" xfId="2999"/>
    <cellStyle name="Финансовый 4 2 3 3 6" xfId="4643"/>
    <cellStyle name="Финансовый 4 2 3 4" xfId="1536"/>
    <cellStyle name="Финансовый 4 2 3 4 2" xfId="1925"/>
    <cellStyle name="Финансовый 4 2 3 4 2 2" xfId="3570"/>
    <cellStyle name="Финансовый 4 2 3 4 2 3" xfId="5353"/>
    <cellStyle name="Финансовый 4 2 3 4 3" xfId="4964"/>
    <cellStyle name="Финансовый 4 2 3 5" xfId="1801"/>
    <cellStyle name="Финансовый 4 2 3 5 2" xfId="3446"/>
    <cellStyle name="Финансовый 4 2 3 5 3" xfId="5229"/>
    <cellStyle name="Финансовый 4 2 3 6" xfId="2446"/>
    <cellStyle name="Финансовый 4 2 3 6 2" xfId="4091"/>
    <cellStyle name="Финансовый 4 2 3 6 3" xfId="5874"/>
    <cellStyle name="Финансовый 4 2 3 7" xfId="1673"/>
    <cellStyle name="Финансовый 4 2 3 7 2" xfId="3318"/>
    <cellStyle name="Финансовый 4 2 3 7 3" xfId="5101"/>
    <cellStyle name="Финансовый 4 2 3 8" xfId="950"/>
    <cellStyle name="Финансовый 4 2 3 9" xfId="538"/>
    <cellStyle name="Финансовый 4 2 4" xfId="81"/>
    <cellStyle name="Финансовый 4 2 4 10" xfId="2691"/>
    <cellStyle name="Финансовый 4 2 4 11" xfId="4335"/>
    <cellStyle name="Финансовый 4 2 4 2" xfId="217"/>
    <cellStyle name="Финансовый 4 2 4 2 2" xfId="1315"/>
    <cellStyle name="Финансовый 4 2 4 2 2 2" xfId="2273"/>
    <cellStyle name="Финансовый 4 2 4 2 2 2 2" xfId="3918"/>
    <cellStyle name="Финансовый 4 2 4 2 2 2 3" xfId="5701"/>
    <cellStyle name="Финансовый 4 2 4 2 2 3" xfId="3099"/>
    <cellStyle name="Финансовый 4 2 4 2 2 4" xfId="4743"/>
    <cellStyle name="Финансовый 4 2 4 2 3" xfId="2017"/>
    <cellStyle name="Финансовый 4 2 4 2 3 2" xfId="3662"/>
    <cellStyle name="Финансовый 4 2 4 2 3 3" xfId="5445"/>
    <cellStyle name="Финансовый 4 2 4 2 4" xfId="2546"/>
    <cellStyle name="Финансовый 4 2 4 2 4 2" xfId="4191"/>
    <cellStyle name="Финансовый 4 2 4 2 4 3" xfId="5974"/>
    <cellStyle name="Финансовый 4 2 4 2 5" xfId="1050"/>
    <cellStyle name="Финансовый 4 2 4 2 6" xfId="638"/>
    <cellStyle name="Финансовый 4 2 4 2 7" xfId="2827"/>
    <cellStyle name="Финансовый 4 2 4 2 8" xfId="4471"/>
    <cellStyle name="Финансовый 4 2 4 3" xfId="366"/>
    <cellStyle name="Финансовый 4 2 4 3 2" xfId="2145"/>
    <cellStyle name="Финансовый 4 2 4 3 2 2" xfId="3790"/>
    <cellStyle name="Финансовый 4 2 4 3 2 3" xfId="5573"/>
    <cellStyle name="Финансовый 4 2 4 3 3" xfId="1179"/>
    <cellStyle name="Финансовый 4 2 4 3 4" xfId="786"/>
    <cellStyle name="Финансовый 4 2 4 3 5" xfId="2963"/>
    <cellStyle name="Финансовый 4 2 4 3 6" xfId="4607"/>
    <cellStyle name="Финансовый 4 2 4 4" xfId="1537"/>
    <cellStyle name="Финансовый 4 2 4 4 2" xfId="1889"/>
    <cellStyle name="Финансовый 4 2 4 4 2 2" xfId="3534"/>
    <cellStyle name="Финансовый 4 2 4 4 2 3" xfId="5317"/>
    <cellStyle name="Финансовый 4 2 4 4 3" xfId="4965"/>
    <cellStyle name="Финансовый 4 2 4 5" xfId="1765"/>
    <cellStyle name="Финансовый 4 2 4 5 2" xfId="3410"/>
    <cellStyle name="Финансовый 4 2 4 5 3" xfId="5193"/>
    <cellStyle name="Финансовый 4 2 4 6" xfId="2410"/>
    <cellStyle name="Финансовый 4 2 4 6 2" xfId="4055"/>
    <cellStyle name="Финансовый 4 2 4 6 3" xfId="5838"/>
    <cellStyle name="Финансовый 4 2 4 7" xfId="1637"/>
    <cellStyle name="Финансовый 4 2 4 7 2" xfId="3282"/>
    <cellStyle name="Финансовый 4 2 4 7 3" xfId="5065"/>
    <cellStyle name="Финансовый 4 2 4 8" xfId="914"/>
    <cellStyle name="Финансовый 4 2 4 9" xfId="502"/>
    <cellStyle name="Финансовый 4 2 5" xfId="59"/>
    <cellStyle name="Финансовый 4 2 5 10" xfId="2671"/>
    <cellStyle name="Финансовый 4 2 5 11" xfId="4314"/>
    <cellStyle name="Финансовый 4 2 5 2" xfId="197"/>
    <cellStyle name="Финансовый 4 2 5 2 2" xfId="1295"/>
    <cellStyle name="Финансовый 4 2 5 2 2 2" xfId="2261"/>
    <cellStyle name="Финансовый 4 2 5 2 2 2 2" xfId="3906"/>
    <cellStyle name="Финансовый 4 2 5 2 2 2 3" xfId="5689"/>
    <cellStyle name="Финансовый 4 2 5 2 2 3" xfId="3079"/>
    <cellStyle name="Финансовый 4 2 5 2 2 4" xfId="4723"/>
    <cellStyle name="Финансовый 4 2 5 2 3" xfId="2005"/>
    <cellStyle name="Финансовый 4 2 5 2 3 2" xfId="3650"/>
    <cellStyle name="Финансовый 4 2 5 2 3 3" xfId="5433"/>
    <cellStyle name="Финансовый 4 2 5 2 4" xfId="2526"/>
    <cellStyle name="Финансовый 4 2 5 2 4 2" xfId="4171"/>
    <cellStyle name="Финансовый 4 2 5 2 4 3" xfId="5954"/>
    <cellStyle name="Финансовый 4 2 5 2 5" xfId="1030"/>
    <cellStyle name="Финансовый 4 2 5 2 6" xfId="618"/>
    <cellStyle name="Финансовый 4 2 5 2 7" xfId="2807"/>
    <cellStyle name="Финансовый 4 2 5 2 8" xfId="4451"/>
    <cellStyle name="Финансовый 4 2 5 3" xfId="346"/>
    <cellStyle name="Финансовый 4 2 5 3 2" xfId="2133"/>
    <cellStyle name="Финансовый 4 2 5 3 2 2" xfId="3778"/>
    <cellStyle name="Финансовый 4 2 5 3 2 3" xfId="5561"/>
    <cellStyle name="Финансовый 4 2 5 3 3" xfId="1166"/>
    <cellStyle name="Финансовый 4 2 5 3 4" xfId="766"/>
    <cellStyle name="Финансовый 4 2 5 3 5" xfId="2943"/>
    <cellStyle name="Финансовый 4 2 5 3 6" xfId="4587"/>
    <cellStyle name="Финансовый 4 2 5 4" xfId="1538"/>
    <cellStyle name="Финансовый 4 2 5 4 2" xfId="1869"/>
    <cellStyle name="Финансовый 4 2 5 4 2 2" xfId="3514"/>
    <cellStyle name="Финансовый 4 2 5 4 2 3" xfId="5297"/>
    <cellStyle name="Финансовый 4 2 5 4 3" xfId="4966"/>
    <cellStyle name="Финансовый 4 2 5 5" xfId="1753"/>
    <cellStyle name="Финансовый 4 2 5 5 2" xfId="3398"/>
    <cellStyle name="Финансовый 4 2 5 5 3" xfId="5181"/>
    <cellStyle name="Финансовый 4 2 5 6" xfId="2389"/>
    <cellStyle name="Финансовый 4 2 5 6 2" xfId="4034"/>
    <cellStyle name="Финансовый 4 2 5 6 3" xfId="5817"/>
    <cellStyle name="Финансовый 4 2 5 7" xfId="1616"/>
    <cellStyle name="Финансовый 4 2 5 7 2" xfId="3261"/>
    <cellStyle name="Финансовый 4 2 5 7 3" xfId="5044"/>
    <cellStyle name="Финансовый 4 2 5 8" xfId="902"/>
    <cellStyle name="Финансовый 4 2 5 9" xfId="482"/>
    <cellStyle name="Финансовый 4 2 6" xfId="137"/>
    <cellStyle name="Финансовый 4 2 6 10" xfId="2747"/>
    <cellStyle name="Финансовый 4 2 6 11" xfId="4391"/>
    <cellStyle name="Финансовый 4 2 6 2" xfId="273"/>
    <cellStyle name="Финансовый 4 2 6 2 2" xfId="1371"/>
    <cellStyle name="Финансовый 4 2 6 2 2 2" xfId="2329"/>
    <cellStyle name="Финансовый 4 2 6 2 2 2 2" xfId="3974"/>
    <cellStyle name="Финансовый 4 2 6 2 2 2 3" xfId="5757"/>
    <cellStyle name="Финансовый 4 2 6 2 2 3" xfId="3155"/>
    <cellStyle name="Финансовый 4 2 6 2 2 4" xfId="4799"/>
    <cellStyle name="Финансовый 4 2 6 2 3" xfId="2073"/>
    <cellStyle name="Финансовый 4 2 6 2 3 2" xfId="3718"/>
    <cellStyle name="Финансовый 4 2 6 2 3 3" xfId="5501"/>
    <cellStyle name="Финансовый 4 2 6 2 4" xfId="2602"/>
    <cellStyle name="Финансовый 4 2 6 2 4 2" xfId="4247"/>
    <cellStyle name="Финансовый 4 2 6 2 4 3" xfId="6030"/>
    <cellStyle name="Финансовый 4 2 6 2 5" xfId="1106"/>
    <cellStyle name="Финансовый 4 2 6 2 6" xfId="694"/>
    <cellStyle name="Финансовый 4 2 6 2 7" xfId="2883"/>
    <cellStyle name="Финансовый 4 2 6 2 8" xfId="4527"/>
    <cellStyle name="Финансовый 4 2 6 3" xfId="422"/>
    <cellStyle name="Финансовый 4 2 6 3 2" xfId="2201"/>
    <cellStyle name="Финансовый 4 2 6 3 2 2" xfId="3846"/>
    <cellStyle name="Финансовый 4 2 6 3 2 3" xfId="5629"/>
    <cellStyle name="Финансовый 4 2 6 3 3" xfId="1235"/>
    <cellStyle name="Финансовый 4 2 6 3 4" xfId="842"/>
    <cellStyle name="Финансовый 4 2 6 3 5" xfId="3019"/>
    <cellStyle name="Финансовый 4 2 6 3 6" xfId="4663"/>
    <cellStyle name="Финансовый 4 2 6 4" xfId="1453"/>
    <cellStyle name="Финансовый 4 2 6 4 2" xfId="1945"/>
    <cellStyle name="Финансовый 4 2 6 4 2 2" xfId="3590"/>
    <cellStyle name="Финансовый 4 2 6 4 2 3" xfId="5373"/>
    <cellStyle name="Финансовый 4 2 6 4 3" xfId="4881"/>
    <cellStyle name="Финансовый 4 2 6 5" xfId="1821"/>
    <cellStyle name="Финансовый 4 2 6 5 2" xfId="3466"/>
    <cellStyle name="Финансовый 4 2 6 5 3" xfId="5249"/>
    <cellStyle name="Финансовый 4 2 6 6" xfId="2466"/>
    <cellStyle name="Финансовый 4 2 6 6 2" xfId="4111"/>
    <cellStyle name="Финансовый 4 2 6 6 3" xfId="5894"/>
    <cellStyle name="Финансовый 4 2 6 7" xfId="1693"/>
    <cellStyle name="Финансовый 4 2 6 7 2" xfId="3338"/>
    <cellStyle name="Финансовый 4 2 6 7 3" xfId="5121"/>
    <cellStyle name="Финансовый 4 2 6 8" xfId="970"/>
    <cellStyle name="Финансовый 4 2 6 9" xfId="558"/>
    <cellStyle name="Финансовый 4 2 7" xfId="35"/>
    <cellStyle name="Финансовый 4 2 7 10" xfId="2647"/>
    <cellStyle name="Финансовый 4 2 7 11" xfId="4290"/>
    <cellStyle name="Финансовый 4 2 7 2" xfId="173"/>
    <cellStyle name="Финансовый 4 2 7 2 2" xfId="1271"/>
    <cellStyle name="Финансовый 4 2 7 2 2 2" xfId="2237"/>
    <cellStyle name="Финансовый 4 2 7 2 2 2 2" xfId="3882"/>
    <cellStyle name="Финансовый 4 2 7 2 2 2 3" xfId="5665"/>
    <cellStyle name="Финансовый 4 2 7 2 2 3" xfId="3055"/>
    <cellStyle name="Финансовый 4 2 7 2 2 4" xfId="4699"/>
    <cellStyle name="Финансовый 4 2 7 2 3" xfId="1981"/>
    <cellStyle name="Финансовый 4 2 7 2 3 2" xfId="3626"/>
    <cellStyle name="Финансовый 4 2 7 2 3 3" xfId="5409"/>
    <cellStyle name="Финансовый 4 2 7 2 4" xfId="2502"/>
    <cellStyle name="Финансовый 4 2 7 2 4 2" xfId="4147"/>
    <cellStyle name="Финансовый 4 2 7 2 4 3" xfId="5930"/>
    <cellStyle name="Финансовый 4 2 7 2 5" xfId="1006"/>
    <cellStyle name="Финансовый 4 2 7 2 6" xfId="594"/>
    <cellStyle name="Финансовый 4 2 7 2 7" xfId="2783"/>
    <cellStyle name="Финансовый 4 2 7 2 8" xfId="4427"/>
    <cellStyle name="Финансовый 4 2 7 3" xfId="322"/>
    <cellStyle name="Финансовый 4 2 7 3 2" xfId="2109"/>
    <cellStyle name="Финансовый 4 2 7 3 2 2" xfId="3754"/>
    <cellStyle name="Финансовый 4 2 7 3 2 3" xfId="5537"/>
    <cellStyle name="Финансовый 4 2 7 3 3" xfId="1142"/>
    <cellStyle name="Финансовый 4 2 7 3 4" xfId="742"/>
    <cellStyle name="Финансовый 4 2 7 3 5" xfId="2919"/>
    <cellStyle name="Финансовый 4 2 7 3 6" xfId="4563"/>
    <cellStyle name="Финансовый 4 2 7 4" xfId="1476"/>
    <cellStyle name="Финансовый 4 2 7 4 2" xfId="1845"/>
    <cellStyle name="Финансовый 4 2 7 4 2 2" xfId="3490"/>
    <cellStyle name="Финансовый 4 2 7 4 2 3" xfId="5273"/>
    <cellStyle name="Финансовый 4 2 7 4 3" xfId="4904"/>
    <cellStyle name="Финансовый 4 2 7 5" xfId="1729"/>
    <cellStyle name="Финансовый 4 2 7 5 2" xfId="3374"/>
    <cellStyle name="Финансовый 4 2 7 5 3" xfId="5157"/>
    <cellStyle name="Финансовый 4 2 7 6" xfId="2365"/>
    <cellStyle name="Финансовый 4 2 7 6 2" xfId="4010"/>
    <cellStyle name="Финансовый 4 2 7 6 3" xfId="5793"/>
    <cellStyle name="Финансовый 4 2 7 7" xfId="1592"/>
    <cellStyle name="Финансовый 4 2 7 7 2" xfId="3237"/>
    <cellStyle name="Финансовый 4 2 7 7 3" xfId="5020"/>
    <cellStyle name="Финансовый 4 2 7 8" xfId="878"/>
    <cellStyle name="Финансовый 4 2 7 9" xfId="458"/>
    <cellStyle name="Финансовый 4 2 8" xfId="23"/>
    <cellStyle name="Финансовый 4 2 8 10" xfId="2635"/>
    <cellStyle name="Финансовый 4 2 8 11" xfId="4278"/>
    <cellStyle name="Финансовый 4 2 8 2" xfId="161"/>
    <cellStyle name="Финансовый 4 2 8 2 2" xfId="1259"/>
    <cellStyle name="Финансовый 4 2 8 2 2 2" xfId="2225"/>
    <cellStyle name="Финансовый 4 2 8 2 2 2 2" xfId="3870"/>
    <cellStyle name="Финансовый 4 2 8 2 2 2 3" xfId="5653"/>
    <cellStyle name="Финансовый 4 2 8 2 2 3" xfId="3043"/>
    <cellStyle name="Финансовый 4 2 8 2 2 4" xfId="4687"/>
    <cellStyle name="Финансовый 4 2 8 2 3" xfId="1969"/>
    <cellStyle name="Финансовый 4 2 8 2 3 2" xfId="3614"/>
    <cellStyle name="Финансовый 4 2 8 2 3 3" xfId="5397"/>
    <cellStyle name="Финансовый 4 2 8 2 4" xfId="2490"/>
    <cellStyle name="Финансовый 4 2 8 2 4 2" xfId="4135"/>
    <cellStyle name="Финансовый 4 2 8 2 4 3" xfId="5918"/>
    <cellStyle name="Финансовый 4 2 8 2 5" xfId="994"/>
    <cellStyle name="Финансовый 4 2 8 2 6" xfId="582"/>
    <cellStyle name="Финансовый 4 2 8 2 7" xfId="2771"/>
    <cellStyle name="Финансовый 4 2 8 2 8" xfId="4415"/>
    <cellStyle name="Финансовый 4 2 8 3" xfId="310"/>
    <cellStyle name="Финансовый 4 2 8 3 2" xfId="2097"/>
    <cellStyle name="Финансовый 4 2 8 3 2 2" xfId="3742"/>
    <cellStyle name="Финансовый 4 2 8 3 2 3" xfId="5525"/>
    <cellStyle name="Финансовый 4 2 8 3 3" xfId="1130"/>
    <cellStyle name="Финансовый 4 2 8 3 4" xfId="730"/>
    <cellStyle name="Финансовый 4 2 8 3 5" xfId="2907"/>
    <cellStyle name="Финансовый 4 2 8 3 6" xfId="4551"/>
    <cellStyle name="Финансовый 4 2 8 4" xfId="1496"/>
    <cellStyle name="Финансовый 4 2 8 4 2" xfId="1833"/>
    <cellStyle name="Финансовый 4 2 8 4 2 2" xfId="3478"/>
    <cellStyle name="Финансовый 4 2 8 4 2 3" xfId="5261"/>
    <cellStyle name="Финансовый 4 2 8 4 3" xfId="4924"/>
    <cellStyle name="Финансовый 4 2 8 5" xfId="1717"/>
    <cellStyle name="Финансовый 4 2 8 5 2" xfId="3362"/>
    <cellStyle name="Финансовый 4 2 8 5 3" xfId="5145"/>
    <cellStyle name="Финансовый 4 2 8 6" xfId="2353"/>
    <cellStyle name="Финансовый 4 2 8 6 2" xfId="3998"/>
    <cellStyle name="Финансовый 4 2 8 6 3" xfId="5781"/>
    <cellStyle name="Финансовый 4 2 8 7" xfId="1580"/>
    <cellStyle name="Финансовый 4 2 8 7 2" xfId="3225"/>
    <cellStyle name="Финансовый 4 2 8 7 3" xfId="5008"/>
    <cellStyle name="Финансовый 4 2 8 8" xfId="866"/>
    <cellStyle name="Финансовый 4 2 8 9" xfId="446"/>
    <cellStyle name="Финансовый 4 2 9" xfId="149"/>
    <cellStyle name="Финансовый 4 2 9 2" xfId="1247"/>
    <cellStyle name="Финансовый 4 2 9 2 2" xfId="2213"/>
    <cellStyle name="Финансовый 4 2 9 2 2 2" xfId="3858"/>
    <cellStyle name="Финансовый 4 2 9 2 2 3" xfId="5641"/>
    <cellStyle name="Финансовый 4 2 9 2 3" xfId="3031"/>
    <cellStyle name="Финансовый 4 2 9 2 4" xfId="4675"/>
    <cellStyle name="Финансовый 4 2 9 3" xfId="1957"/>
    <cellStyle name="Финансовый 4 2 9 3 2" xfId="3602"/>
    <cellStyle name="Финансовый 4 2 9 3 3" xfId="5385"/>
    <cellStyle name="Финансовый 4 2 9 4" xfId="2478"/>
    <cellStyle name="Финансовый 4 2 9 4 2" xfId="4123"/>
    <cellStyle name="Финансовый 4 2 9 4 3" xfId="5906"/>
    <cellStyle name="Финансовый 4 2 9 5" xfId="982"/>
    <cellStyle name="Финансовый 4 2 9 6" xfId="570"/>
    <cellStyle name="Финансовый 4 2 9 7" xfId="2759"/>
    <cellStyle name="Финансовый 4 2 9 8" xfId="4403"/>
    <cellStyle name="Финансовый 4 20" xfId="2617"/>
    <cellStyle name="Финансовый 4 21" xfId="4260"/>
    <cellStyle name="Финансовый 4 3" xfId="41"/>
    <cellStyle name="Финансовый 4 3 10" xfId="884"/>
    <cellStyle name="Финансовый 4 3 11" xfId="464"/>
    <cellStyle name="Финансовый 4 3 12" xfId="2653"/>
    <cellStyle name="Финансовый 4 3 13" xfId="4296"/>
    <cellStyle name="Финансовый 4 3 2" xfId="123"/>
    <cellStyle name="Финансовый 4 3 2 10" xfId="2733"/>
    <cellStyle name="Финансовый 4 3 2 11" xfId="4377"/>
    <cellStyle name="Финансовый 4 3 2 2" xfId="259"/>
    <cellStyle name="Финансовый 4 3 2 2 2" xfId="1357"/>
    <cellStyle name="Финансовый 4 3 2 2 2 2" xfId="2315"/>
    <cellStyle name="Финансовый 4 3 2 2 2 2 2" xfId="3960"/>
    <cellStyle name="Финансовый 4 3 2 2 2 2 3" xfId="5743"/>
    <cellStyle name="Финансовый 4 3 2 2 2 3" xfId="3141"/>
    <cellStyle name="Финансовый 4 3 2 2 2 4" xfId="4785"/>
    <cellStyle name="Финансовый 4 3 2 2 3" xfId="2059"/>
    <cellStyle name="Финансовый 4 3 2 2 3 2" xfId="3704"/>
    <cellStyle name="Финансовый 4 3 2 2 3 3" xfId="5487"/>
    <cellStyle name="Финансовый 4 3 2 2 4" xfId="2588"/>
    <cellStyle name="Финансовый 4 3 2 2 4 2" xfId="4233"/>
    <cellStyle name="Финансовый 4 3 2 2 4 3" xfId="6016"/>
    <cellStyle name="Финансовый 4 3 2 2 5" xfId="1092"/>
    <cellStyle name="Финансовый 4 3 2 2 6" xfId="680"/>
    <cellStyle name="Финансовый 4 3 2 2 7" xfId="2869"/>
    <cellStyle name="Финансовый 4 3 2 2 8" xfId="4513"/>
    <cellStyle name="Финансовый 4 3 2 3" xfId="408"/>
    <cellStyle name="Финансовый 4 3 2 3 2" xfId="2187"/>
    <cellStyle name="Финансовый 4 3 2 3 2 2" xfId="3832"/>
    <cellStyle name="Финансовый 4 3 2 3 2 3" xfId="5615"/>
    <cellStyle name="Финансовый 4 3 2 3 3" xfId="1221"/>
    <cellStyle name="Финансовый 4 3 2 3 4" xfId="828"/>
    <cellStyle name="Финансовый 4 3 2 3 5" xfId="3005"/>
    <cellStyle name="Финансовый 4 3 2 3 6" xfId="4649"/>
    <cellStyle name="Финансовый 4 3 2 4" xfId="1539"/>
    <cellStyle name="Финансовый 4 3 2 4 2" xfId="1931"/>
    <cellStyle name="Финансовый 4 3 2 4 2 2" xfId="3576"/>
    <cellStyle name="Финансовый 4 3 2 4 2 3" xfId="5359"/>
    <cellStyle name="Финансовый 4 3 2 4 3" xfId="4967"/>
    <cellStyle name="Финансовый 4 3 2 5" xfId="1807"/>
    <cellStyle name="Финансовый 4 3 2 5 2" xfId="3452"/>
    <cellStyle name="Финансовый 4 3 2 5 3" xfId="5235"/>
    <cellStyle name="Финансовый 4 3 2 6" xfId="2452"/>
    <cellStyle name="Финансовый 4 3 2 6 2" xfId="4097"/>
    <cellStyle name="Финансовый 4 3 2 6 3" xfId="5880"/>
    <cellStyle name="Финансовый 4 3 2 7" xfId="1679"/>
    <cellStyle name="Финансовый 4 3 2 7 2" xfId="3324"/>
    <cellStyle name="Финансовый 4 3 2 7 3" xfId="5107"/>
    <cellStyle name="Финансовый 4 3 2 8" xfId="956"/>
    <cellStyle name="Финансовый 4 3 2 9" xfId="544"/>
    <cellStyle name="Финансовый 4 3 3" xfId="87"/>
    <cellStyle name="Финансовый 4 3 3 10" xfId="2697"/>
    <cellStyle name="Финансовый 4 3 3 11" xfId="4341"/>
    <cellStyle name="Финансовый 4 3 3 2" xfId="223"/>
    <cellStyle name="Финансовый 4 3 3 2 2" xfId="1321"/>
    <cellStyle name="Финансовый 4 3 3 2 2 2" xfId="2279"/>
    <cellStyle name="Финансовый 4 3 3 2 2 2 2" xfId="3924"/>
    <cellStyle name="Финансовый 4 3 3 2 2 2 3" xfId="5707"/>
    <cellStyle name="Финансовый 4 3 3 2 2 3" xfId="3105"/>
    <cellStyle name="Финансовый 4 3 3 2 2 4" xfId="4749"/>
    <cellStyle name="Финансовый 4 3 3 2 3" xfId="2023"/>
    <cellStyle name="Финансовый 4 3 3 2 3 2" xfId="3668"/>
    <cellStyle name="Финансовый 4 3 3 2 3 3" xfId="5451"/>
    <cellStyle name="Финансовый 4 3 3 2 4" xfId="2552"/>
    <cellStyle name="Финансовый 4 3 3 2 4 2" xfId="4197"/>
    <cellStyle name="Финансовый 4 3 3 2 4 3" xfId="5980"/>
    <cellStyle name="Финансовый 4 3 3 2 5" xfId="1056"/>
    <cellStyle name="Финансовый 4 3 3 2 6" xfId="644"/>
    <cellStyle name="Финансовый 4 3 3 2 7" xfId="2833"/>
    <cellStyle name="Финансовый 4 3 3 2 8" xfId="4477"/>
    <cellStyle name="Финансовый 4 3 3 3" xfId="372"/>
    <cellStyle name="Финансовый 4 3 3 3 2" xfId="2151"/>
    <cellStyle name="Финансовый 4 3 3 3 2 2" xfId="3796"/>
    <cellStyle name="Финансовый 4 3 3 3 2 3" xfId="5579"/>
    <cellStyle name="Финансовый 4 3 3 3 3" xfId="1185"/>
    <cellStyle name="Финансовый 4 3 3 3 4" xfId="792"/>
    <cellStyle name="Финансовый 4 3 3 3 5" xfId="2969"/>
    <cellStyle name="Финансовый 4 3 3 3 6" xfId="4613"/>
    <cellStyle name="Финансовый 4 3 3 4" xfId="1540"/>
    <cellStyle name="Финансовый 4 3 3 4 2" xfId="1895"/>
    <cellStyle name="Финансовый 4 3 3 4 2 2" xfId="3540"/>
    <cellStyle name="Финансовый 4 3 3 4 2 3" xfId="5323"/>
    <cellStyle name="Финансовый 4 3 3 4 3" xfId="4968"/>
    <cellStyle name="Финансовый 4 3 3 5" xfId="1771"/>
    <cellStyle name="Финансовый 4 3 3 5 2" xfId="3416"/>
    <cellStyle name="Финансовый 4 3 3 5 3" xfId="5199"/>
    <cellStyle name="Финансовый 4 3 3 6" xfId="2416"/>
    <cellStyle name="Финансовый 4 3 3 6 2" xfId="4061"/>
    <cellStyle name="Финансовый 4 3 3 6 3" xfId="5844"/>
    <cellStyle name="Финансовый 4 3 3 7" xfId="1643"/>
    <cellStyle name="Финансовый 4 3 3 7 2" xfId="3288"/>
    <cellStyle name="Финансовый 4 3 3 7 3" xfId="5071"/>
    <cellStyle name="Финансовый 4 3 3 8" xfId="920"/>
    <cellStyle name="Финансовый 4 3 3 9" xfId="508"/>
    <cellStyle name="Финансовый 4 3 4" xfId="179"/>
    <cellStyle name="Финансовый 4 3 4 2" xfId="1277"/>
    <cellStyle name="Финансовый 4 3 4 2 2" xfId="2243"/>
    <cellStyle name="Финансовый 4 3 4 2 2 2" xfId="3888"/>
    <cellStyle name="Финансовый 4 3 4 2 2 3" xfId="5671"/>
    <cellStyle name="Финансовый 4 3 4 2 3" xfId="3061"/>
    <cellStyle name="Финансовый 4 3 4 2 4" xfId="4705"/>
    <cellStyle name="Финансовый 4 3 4 3" xfId="1987"/>
    <cellStyle name="Финансовый 4 3 4 3 2" xfId="3632"/>
    <cellStyle name="Финансовый 4 3 4 3 3" xfId="5415"/>
    <cellStyle name="Финансовый 4 3 4 4" xfId="2508"/>
    <cellStyle name="Финансовый 4 3 4 4 2" xfId="4153"/>
    <cellStyle name="Финансовый 4 3 4 4 3" xfId="5936"/>
    <cellStyle name="Финансовый 4 3 4 5" xfId="1012"/>
    <cellStyle name="Финансовый 4 3 4 6" xfId="600"/>
    <cellStyle name="Финансовый 4 3 4 7" xfId="2789"/>
    <cellStyle name="Финансовый 4 3 4 8" xfId="4433"/>
    <cellStyle name="Финансовый 4 3 5" xfId="328"/>
    <cellStyle name="Финансовый 4 3 5 2" xfId="2115"/>
    <cellStyle name="Финансовый 4 3 5 2 2" xfId="3760"/>
    <cellStyle name="Финансовый 4 3 5 2 3" xfId="5543"/>
    <cellStyle name="Финансовый 4 3 5 3" xfId="1148"/>
    <cellStyle name="Финансовый 4 3 5 4" xfId="748"/>
    <cellStyle name="Финансовый 4 3 5 5" xfId="2925"/>
    <cellStyle name="Финансовый 4 3 5 6" xfId="4569"/>
    <cellStyle name="Финансовый 4 3 6" xfId="1432"/>
    <cellStyle name="Финансовый 4 3 6 2" xfId="1851"/>
    <cellStyle name="Финансовый 4 3 6 2 2" xfId="3496"/>
    <cellStyle name="Финансовый 4 3 6 2 3" xfId="5279"/>
    <cellStyle name="Финансовый 4 3 6 3" xfId="4860"/>
    <cellStyle name="Финансовый 4 3 7" xfId="1735"/>
    <cellStyle name="Финансовый 4 3 7 2" xfId="3380"/>
    <cellStyle name="Финансовый 4 3 7 3" xfId="5163"/>
    <cellStyle name="Финансовый 4 3 8" xfId="2371"/>
    <cellStyle name="Финансовый 4 3 8 2" xfId="4016"/>
    <cellStyle name="Финансовый 4 3 8 3" xfId="5799"/>
    <cellStyle name="Финансовый 4 3 9" xfId="1598"/>
    <cellStyle name="Финансовый 4 3 9 2" xfId="3243"/>
    <cellStyle name="Финансовый 4 3 9 3" xfId="5026"/>
    <cellStyle name="Финансовый 4 4" xfId="93"/>
    <cellStyle name="Финансовый 4 4 10" xfId="2703"/>
    <cellStyle name="Финансовый 4 4 11" xfId="4347"/>
    <cellStyle name="Финансовый 4 4 2" xfId="229"/>
    <cellStyle name="Финансовый 4 4 2 2" xfId="1327"/>
    <cellStyle name="Финансовый 4 4 2 2 2" xfId="2285"/>
    <cellStyle name="Финансовый 4 4 2 2 2 2" xfId="3930"/>
    <cellStyle name="Финансовый 4 4 2 2 2 3" xfId="5713"/>
    <cellStyle name="Финансовый 4 4 2 2 3" xfId="3111"/>
    <cellStyle name="Финансовый 4 4 2 2 4" xfId="4755"/>
    <cellStyle name="Финансовый 4 4 2 3" xfId="2029"/>
    <cellStyle name="Финансовый 4 4 2 3 2" xfId="3674"/>
    <cellStyle name="Финансовый 4 4 2 3 3" xfId="5457"/>
    <cellStyle name="Финансовый 4 4 2 4" xfId="2558"/>
    <cellStyle name="Финансовый 4 4 2 4 2" xfId="4203"/>
    <cellStyle name="Финансовый 4 4 2 4 3" xfId="5986"/>
    <cellStyle name="Финансовый 4 4 2 5" xfId="1062"/>
    <cellStyle name="Финансовый 4 4 2 6" xfId="650"/>
    <cellStyle name="Финансовый 4 4 2 7" xfId="2839"/>
    <cellStyle name="Финансовый 4 4 2 8" xfId="4483"/>
    <cellStyle name="Финансовый 4 4 3" xfId="378"/>
    <cellStyle name="Финансовый 4 4 3 2" xfId="2157"/>
    <cellStyle name="Финансовый 4 4 3 2 2" xfId="3802"/>
    <cellStyle name="Финансовый 4 4 3 2 3" xfId="5585"/>
    <cellStyle name="Финансовый 4 4 3 3" xfId="1191"/>
    <cellStyle name="Финансовый 4 4 3 4" xfId="798"/>
    <cellStyle name="Финансовый 4 4 3 5" xfId="2975"/>
    <cellStyle name="Финансовый 4 4 3 6" xfId="4619"/>
    <cellStyle name="Финансовый 4 4 4" xfId="1541"/>
    <cellStyle name="Финансовый 4 4 4 2" xfId="1901"/>
    <cellStyle name="Финансовый 4 4 4 2 2" xfId="3546"/>
    <cellStyle name="Финансовый 4 4 4 2 3" xfId="5329"/>
    <cellStyle name="Финансовый 4 4 4 3" xfId="4969"/>
    <cellStyle name="Финансовый 4 4 5" xfId="1777"/>
    <cellStyle name="Финансовый 4 4 5 2" xfId="3422"/>
    <cellStyle name="Финансовый 4 4 5 3" xfId="5205"/>
    <cellStyle name="Финансовый 4 4 6" xfId="2422"/>
    <cellStyle name="Финансовый 4 4 6 2" xfId="4067"/>
    <cellStyle name="Финансовый 4 4 6 3" xfId="5850"/>
    <cellStyle name="Финансовый 4 4 7" xfId="1649"/>
    <cellStyle name="Финансовый 4 4 7 2" xfId="3294"/>
    <cellStyle name="Финансовый 4 4 7 3" xfId="5077"/>
    <cellStyle name="Финансовый 4 4 8" xfId="926"/>
    <cellStyle name="Финансовый 4 4 9" xfId="514"/>
    <cellStyle name="Финансовый 4 5" xfId="99"/>
    <cellStyle name="Финансовый 4 5 10" xfId="2709"/>
    <cellStyle name="Финансовый 4 5 11" xfId="4353"/>
    <cellStyle name="Финансовый 4 5 2" xfId="235"/>
    <cellStyle name="Финансовый 4 5 2 2" xfId="1333"/>
    <cellStyle name="Финансовый 4 5 2 2 2" xfId="2291"/>
    <cellStyle name="Финансовый 4 5 2 2 2 2" xfId="3936"/>
    <cellStyle name="Финансовый 4 5 2 2 2 3" xfId="5719"/>
    <cellStyle name="Финансовый 4 5 2 2 3" xfId="3117"/>
    <cellStyle name="Финансовый 4 5 2 2 4" xfId="4761"/>
    <cellStyle name="Финансовый 4 5 2 3" xfId="2035"/>
    <cellStyle name="Финансовый 4 5 2 3 2" xfId="3680"/>
    <cellStyle name="Финансовый 4 5 2 3 3" xfId="5463"/>
    <cellStyle name="Финансовый 4 5 2 4" xfId="2564"/>
    <cellStyle name="Финансовый 4 5 2 4 2" xfId="4209"/>
    <cellStyle name="Финансовый 4 5 2 4 3" xfId="5992"/>
    <cellStyle name="Финансовый 4 5 2 5" xfId="1068"/>
    <cellStyle name="Финансовый 4 5 2 6" xfId="656"/>
    <cellStyle name="Финансовый 4 5 2 7" xfId="2845"/>
    <cellStyle name="Финансовый 4 5 2 8" xfId="4489"/>
    <cellStyle name="Финансовый 4 5 3" xfId="384"/>
    <cellStyle name="Финансовый 4 5 3 2" xfId="2163"/>
    <cellStyle name="Финансовый 4 5 3 2 2" xfId="3808"/>
    <cellStyle name="Финансовый 4 5 3 2 3" xfId="5591"/>
    <cellStyle name="Финансовый 4 5 3 3" xfId="1197"/>
    <cellStyle name="Финансовый 4 5 3 4" xfId="804"/>
    <cellStyle name="Финансовый 4 5 3 5" xfId="2981"/>
    <cellStyle name="Финансовый 4 5 3 6" xfId="4625"/>
    <cellStyle name="Финансовый 4 5 4" xfId="1542"/>
    <cellStyle name="Финансовый 4 5 4 2" xfId="1907"/>
    <cellStyle name="Финансовый 4 5 4 2 2" xfId="3552"/>
    <cellStyle name="Финансовый 4 5 4 2 3" xfId="5335"/>
    <cellStyle name="Финансовый 4 5 4 3" xfId="4970"/>
    <cellStyle name="Финансовый 4 5 5" xfId="1783"/>
    <cellStyle name="Финансовый 4 5 5 2" xfId="3428"/>
    <cellStyle name="Финансовый 4 5 5 3" xfId="5211"/>
    <cellStyle name="Финансовый 4 5 6" xfId="2428"/>
    <cellStyle name="Финансовый 4 5 6 2" xfId="4073"/>
    <cellStyle name="Финансовый 4 5 6 3" xfId="5856"/>
    <cellStyle name="Финансовый 4 5 7" xfId="1655"/>
    <cellStyle name="Финансовый 4 5 7 2" xfId="3300"/>
    <cellStyle name="Финансовый 4 5 7 3" xfId="5083"/>
    <cellStyle name="Финансовый 4 5 8" xfId="932"/>
    <cellStyle name="Финансовый 4 5 9" xfId="520"/>
    <cellStyle name="Финансовый 4 6" xfId="111"/>
    <cellStyle name="Финансовый 4 6 10" xfId="2721"/>
    <cellStyle name="Финансовый 4 6 11" xfId="4365"/>
    <cellStyle name="Финансовый 4 6 2" xfId="247"/>
    <cellStyle name="Финансовый 4 6 2 2" xfId="1345"/>
    <cellStyle name="Финансовый 4 6 2 2 2" xfId="2303"/>
    <cellStyle name="Финансовый 4 6 2 2 2 2" xfId="3948"/>
    <cellStyle name="Финансовый 4 6 2 2 2 3" xfId="5731"/>
    <cellStyle name="Финансовый 4 6 2 2 3" xfId="3129"/>
    <cellStyle name="Финансовый 4 6 2 2 4" xfId="4773"/>
    <cellStyle name="Финансовый 4 6 2 3" xfId="2047"/>
    <cellStyle name="Финансовый 4 6 2 3 2" xfId="3692"/>
    <cellStyle name="Финансовый 4 6 2 3 3" xfId="5475"/>
    <cellStyle name="Финансовый 4 6 2 4" xfId="2576"/>
    <cellStyle name="Финансовый 4 6 2 4 2" xfId="4221"/>
    <cellStyle name="Финансовый 4 6 2 4 3" xfId="6004"/>
    <cellStyle name="Финансовый 4 6 2 5" xfId="1080"/>
    <cellStyle name="Финансовый 4 6 2 6" xfId="668"/>
    <cellStyle name="Финансовый 4 6 2 7" xfId="2857"/>
    <cellStyle name="Финансовый 4 6 2 8" xfId="4501"/>
    <cellStyle name="Финансовый 4 6 3" xfId="396"/>
    <cellStyle name="Финансовый 4 6 3 2" xfId="2175"/>
    <cellStyle name="Финансовый 4 6 3 2 2" xfId="3820"/>
    <cellStyle name="Финансовый 4 6 3 2 3" xfId="5603"/>
    <cellStyle name="Финансовый 4 6 3 3" xfId="1209"/>
    <cellStyle name="Финансовый 4 6 3 4" xfId="816"/>
    <cellStyle name="Финансовый 4 6 3 5" xfId="2993"/>
    <cellStyle name="Финансовый 4 6 3 6" xfId="4637"/>
    <cellStyle name="Финансовый 4 6 4" xfId="1478"/>
    <cellStyle name="Финансовый 4 6 4 2" xfId="1919"/>
    <cellStyle name="Финансовый 4 6 4 2 2" xfId="3564"/>
    <cellStyle name="Финансовый 4 6 4 2 3" xfId="5347"/>
    <cellStyle name="Финансовый 4 6 4 3" xfId="4906"/>
    <cellStyle name="Финансовый 4 6 5" xfId="1795"/>
    <cellStyle name="Финансовый 4 6 5 2" xfId="3440"/>
    <cellStyle name="Финансовый 4 6 5 3" xfId="5223"/>
    <cellStyle name="Финансовый 4 6 6" xfId="2440"/>
    <cellStyle name="Финансовый 4 6 6 2" xfId="4085"/>
    <cellStyle name="Финансовый 4 6 6 3" xfId="5868"/>
    <cellStyle name="Финансовый 4 6 7" xfId="1667"/>
    <cellStyle name="Финансовый 4 6 7 2" xfId="3312"/>
    <cellStyle name="Финансовый 4 6 7 3" xfId="5095"/>
    <cellStyle name="Финансовый 4 6 8" xfId="944"/>
    <cellStyle name="Финансовый 4 6 9" xfId="532"/>
    <cellStyle name="Финансовый 4 7" xfId="75"/>
    <cellStyle name="Финансовый 4 7 10" xfId="2685"/>
    <cellStyle name="Финансовый 4 7 11" xfId="4329"/>
    <cellStyle name="Финансовый 4 7 2" xfId="211"/>
    <cellStyle name="Финансовый 4 7 2 2" xfId="1309"/>
    <cellStyle name="Финансовый 4 7 2 2 2" xfId="2267"/>
    <cellStyle name="Финансовый 4 7 2 2 2 2" xfId="3912"/>
    <cellStyle name="Финансовый 4 7 2 2 2 3" xfId="5695"/>
    <cellStyle name="Финансовый 4 7 2 2 3" xfId="3093"/>
    <cellStyle name="Финансовый 4 7 2 2 4" xfId="4737"/>
    <cellStyle name="Финансовый 4 7 2 3" xfId="2011"/>
    <cellStyle name="Финансовый 4 7 2 3 2" xfId="3656"/>
    <cellStyle name="Финансовый 4 7 2 3 3" xfId="5439"/>
    <cellStyle name="Финансовый 4 7 2 4" xfId="2540"/>
    <cellStyle name="Финансовый 4 7 2 4 2" xfId="4185"/>
    <cellStyle name="Финансовый 4 7 2 4 3" xfId="5968"/>
    <cellStyle name="Финансовый 4 7 2 5" xfId="1044"/>
    <cellStyle name="Финансовый 4 7 2 6" xfId="632"/>
    <cellStyle name="Финансовый 4 7 2 7" xfId="2821"/>
    <cellStyle name="Финансовый 4 7 2 8" xfId="4465"/>
    <cellStyle name="Финансовый 4 7 3" xfId="360"/>
    <cellStyle name="Финансовый 4 7 3 2" xfId="2139"/>
    <cellStyle name="Финансовый 4 7 3 2 2" xfId="3784"/>
    <cellStyle name="Финансовый 4 7 3 2 3" xfId="5567"/>
    <cellStyle name="Финансовый 4 7 3 3" xfId="1173"/>
    <cellStyle name="Финансовый 4 7 3 4" xfId="780"/>
    <cellStyle name="Финансовый 4 7 3 5" xfId="2957"/>
    <cellStyle name="Финансовый 4 7 3 6" xfId="4601"/>
    <cellStyle name="Финансовый 4 7 4" xfId="1446"/>
    <cellStyle name="Финансовый 4 7 4 2" xfId="1883"/>
    <cellStyle name="Финансовый 4 7 4 2 2" xfId="3528"/>
    <cellStyle name="Финансовый 4 7 4 2 3" xfId="5311"/>
    <cellStyle name="Финансовый 4 7 4 3" xfId="4874"/>
    <cellStyle name="Финансовый 4 7 5" xfId="1759"/>
    <cellStyle name="Финансовый 4 7 5 2" xfId="3404"/>
    <cellStyle name="Финансовый 4 7 5 3" xfId="5187"/>
    <cellStyle name="Финансовый 4 7 6" xfId="2404"/>
    <cellStyle name="Финансовый 4 7 6 2" xfId="4049"/>
    <cellStyle name="Финансовый 4 7 6 3" xfId="5832"/>
    <cellStyle name="Финансовый 4 7 7" xfId="1631"/>
    <cellStyle name="Финансовый 4 7 7 2" xfId="3276"/>
    <cellStyle name="Финансовый 4 7 7 3" xfId="5059"/>
    <cellStyle name="Финансовый 4 7 8" xfId="908"/>
    <cellStyle name="Финансовый 4 7 9" xfId="496"/>
    <cellStyle name="Финансовый 4 8" xfId="53"/>
    <cellStyle name="Финансовый 4 8 10" xfId="2665"/>
    <cellStyle name="Финансовый 4 8 11" xfId="4308"/>
    <cellStyle name="Финансовый 4 8 2" xfId="191"/>
    <cellStyle name="Финансовый 4 8 2 2" xfId="1289"/>
    <cellStyle name="Финансовый 4 8 2 2 2" xfId="2255"/>
    <cellStyle name="Финансовый 4 8 2 2 2 2" xfId="3900"/>
    <cellStyle name="Финансовый 4 8 2 2 2 3" xfId="5683"/>
    <cellStyle name="Финансовый 4 8 2 2 3" xfId="3073"/>
    <cellStyle name="Финансовый 4 8 2 2 4" xfId="4717"/>
    <cellStyle name="Финансовый 4 8 2 3" xfId="1999"/>
    <cellStyle name="Финансовый 4 8 2 3 2" xfId="3644"/>
    <cellStyle name="Финансовый 4 8 2 3 3" xfId="5427"/>
    <cellStyle name="Финансовый 4 8 2 4" xfId="2520"/>
    <cellStyle name="Финансовый 4 8 2 4 2" xfId="4165"/>
    <cellStyle name="Финансовый 4 8 2 4 3" xfId="5948"/>
    <cellStyle name="Финансовый 4 8 2 5" xfId="1024"/>
    <cellStyle name="Финансовый 4 8 2 6" xfId="612"/>
    <cellStyle name="Финансовый 4 8 2 7" xfId="2801"/>
    <cellStyle name="Финансовый 4 8 2 8" xfId="4445"/>
    <cellStyle name="Финансовый 4 8 3" xfId="340"/>
    <cellStyle name="Финансовый 4 8 3 2" xfId="2127"/>
    <cellStyle name="Финансовый 4 8 3 2 2" xfId="3772"/>
    <cellStyle name="Финансовый 4 8 3 2 3" xfId="5555"/>
    <cellStyle name="Финансовый 4 8 3 3" xfId="1160"/>
    <cellStyle name="Финансовый 4 8 3 4" xfId="760"/>
    <cellStyle name="Финансовый 4 8 3 5" xfId="2937"/>
    <cellStyle name="Финансовый 4 8 3 6" xfId="4581"/>
    <cellStyle name="Финансовый 4 8 4" xfId="1433"/>
    <cellStyle name="Финансовый 4 8 4 2" xfId="1863"/>
    <cellStyle name="Финансовый 4 8 4 2 2" xfId="3508"/>
    <cellStyle name="Финансовый 4 8 4 2 3" xfId="5291"/>
    <cellStyle name="Финансовый 4 8 4 3" xfId="4861"/>
    <cellStyle name="Финансовый 4 8 5" xfId="1747"/>
    <cellStyle name="Финансовый 4 8 5 2" xfId="3392"/>
    <cellStyle name="Финансовый 4 8 5 3" xfId="5175"/>
    <cellStyle name="Финансовый 4 8 6" xfId="2383"/>
    <cellStyle name="Финансовый 4 8 6 2" xfId="4028"/>
    <cellStyle name="Финансовый 4 8 6 3" xfId="5811"/>
    <cellStyle name="Финансовый 4 8 7" xfId="1610"/>
    <cellStyle name="Финансовый 4 8 7 2" xfId="3255"/>
    <cellStyle name="Финансовый 4 8 7 3" xfId="5038"/>
    <cellStyle name="Финансовый 4 8 8" xfId="896"/>
    <cellStyle name="Финансовый 4 8 9" xfId="476"/>
    <cellStyle name="Финансовый 4 9" xfId="131"/>
    <cellStyle name="Финансовый 4 9 10" xfId="2741"/>
    <cellStyle name="Финансовый 4 9 11" xfId="4385"/>
    <cellStyle name="Финансовый 4 9 2" xfId="267"/>
    <cellStyle name="Финансовый 4 9 2 2" xfId="1365"/>
    <cellStyle name="Финансовый 4 9 2 2 2" xfId="2323"/>
    <cellStyle name="Финансовый 4 9 2 2 2 2" xfId="3968"/>
    <cellStyle name="Финансовый 4 9 2 2 2 3" xfId="5751"/>
    <cellStyle name="Финансовый 4 9 2 2 3" xfId="3149"/>
    <cellStyle name="Финансовый 4 9 2 2 4" xfId="4793"/>
    <cellStyle name="Финансовый 4 9 2 3" xfId="2067"/>
    <cellStyle name="Финансовый 4 9 2 3 2" xfId="3712"/>
    <cellStyle name="Финансовый 4 9 2 3 3" xfId="5495"/>
    <cellStyle name="Финансовый 4 9 2 4" xfId="2596"/>
    <cellStyle name="Финансовый 4 9 2 4 2" xfId="4241"/>
    <cellStyle name="Финансовый 4 9 2 4 3" xfId="6024"/>
    <cellStyle name="Финансовый 4 9 2 5" xfId="1100"/>
    <cellStyle name="Финансовый 4 9 2 6" xfId="688"/>
    <cellStyle name="Финансовый 4 9 2 7" xfId="2877"/>
    <cellStyle name="Финансовый 4 9 2 8" xfId="4521"/>
    <cellStyle name="Финансовый 4 9 3" xfId="416"/>
    <cellStyle name="Финансовый 4 9 3 2" xfId="2195"/>
    <cellStyle name="Финансовый 4 9 3 2 2" xfId="3840"/>
    <cellStyle name="Финансовый 4 9 3 2 3" xfId="5623"/>
    <cellStyle name="Финансовый 4 9 3 3" xfId="1229"/>
    <cellStyle name="Финансовый 4 9 3 4" xfId="836"/>
    <cellStyle name="Финансовый 4 9 3 5" xfId="3013"/>
    <cellStyle name="Финансовый 4 9 3 6" xfId="4657"/>
    <cellStyle name="Финансовый 4 9 4" xfId="1449"/>
    <cellStyle name="Финансовый 4 9 4 2" xfId="1939"/>
    <cellStyle name="Финансовый 4 9 4 2 2" xfId="3584"/>
    <cellStyle name="Финансовый 4 9 4 2 3" xfId="5367"/>
    <cellStyle name="Финансовый 4 9 4 3" xfId="4877"/>
    <cellStyle name="Финансовый 4 9 5" xfId="1815"/>
    <cellStyle name="Финансовый 4 9 5 2" xfId="3460"/>
    <cellStyle name="Финансовый 4 9 5 3" xfId="5243"/>
    <cellStyle name="Финансовый 4 9 6" xfId="2460"/>
    <cellStyle name="Финансовый 4 9 6 2" xfId="4105"/>
    <cellStyle name="Финансовый 4 9 6 3" xfId="5888"/>
    <cellStyle name="Финансовый 4 9 7" xfId="1687"/>
    <cellStyle name="Финансовый 4 9 7 2" xfId="3332"/>
    <cellStyle name="Финансовый 4 9 7 3" xfId="5115"/>
    <cellStyle name="Финансовый 4 9 8" xfId="964"/>
    <cellStyle name="Финансовый 4 9 9" xfId="552"/>
    <cellStyle name="Финансовый 40" xfId="6042"/>
    <cellStyle name="Финансовый 41" xfId="6041"/>
    <cellStyle name="Финансовый 42" xfId="6039"/>
    <cellStyle name="Финансовый 43" xfId="6043"/>
    <cellStyle name="Финансовый 44" xfId="6040"/>
    <cellStyle name="Финансовый 5" xfId="7"/>
    <cellStyle name="Финансовый 5 10" xfId="281"/>
    <cellStyle name="Финансовый 5 10 2" xfId="2081"/>
    <cellStyle name="Финансовый 5 10 2 2" xfId="3726"/>
    <cellStyle name="Финансовый 5 10 2 3" xfId="5509"/>
    <cellStyle name="Финансовый 5 10 3" xfId="1379"/>
    <cellStyle name="Финансовый 5 10 4" xfId="702"/>
    <cellStyle name="Финансовый 5 10 5" xfId="3163"/>
    <cellStyle name="Финансовый 5 10 6" xfId="4807"/>
    <cellStyle name="Финансовый 5 11" xfId="294"/>
    <cellStyle name="Финансовый 5 11 2" xfId="1114"/>
    <cellStyle name="Финансовый 5 11 3" xfId="714"/>
    <cellStyle name="Финансовый 5 11 4" xfId="2891"/>
    <cellStyle name="Финансовый 5 11 5" xfId="4535"/>
    <cellStyle name="Финансовый 5 12" xfId="1543"/>
    <cellStyle name="Финансовый 5 12 2" xfId="1701"/>
    <cellStyle name="Финансовый 5 12 2 2" xfId="3346"/>
    <cellStyle name="Финансовый 5 12 2 3" xfId="5129"/>
    <cellStyle name="Финансовый 5 12 3" xfId="4971"/>
    <cellStyle name="Финансовый 5 13" xfId="2337"/>
    <cellStyle name="Финансовый 5 13 2" xfId="3982"/>
    <cellStyle name="Финансовый 5 13 3" xfId="5765"/>
    <cellStyle name="Финансовый 5 14" xfId="1564"/>
    <cellStyle name="Финансовый 5 14 2" xfId="3209"/>
    <cellStyle name="Финансовый 5 14 3" xfId="4992"/>
    <cellStyle name="Финансовый 5 15" xfId="850"/>
    <cellStyle name="Финансовый 5 16" xfId="430"/>
    <cellStyle name="Финансовый 5 17" xfId="2619"/>
    <cellStyle name="Финансовый 5 18" xfId="4262"/>
    <cellStyle name="Финансовый 5 2" xfId="43"/>
    <cellStyle name="Финансовый 5 2 10" xfId="466"/>
    <cellStyle name="Финансовый 5 2 11" xfId="2655"/>
    <cellStyle name="Финансовый 5 2 12" xfId="4298"/>
    <cellStyle name="Финансовый 5 2 2" xfId="101"/>
    <cellStyle name="Финансовый 5 2 2 10" xfId="2711"/>
    <cellStyle name="Финансовый 5 2 2 11" xfId="4355"/>
    <cellStyle name="Финансовый 5 2 2 2" xfId="237"/>
    <cellStyle name="Финансовый 5 2 2 2 2" xfId="1335"/>
    <cellStyle name="Финансовый 5 2 2 2 2 2" xfId="2293"/>
    <cellStyle name="Финансовый 5 2 2 2 2 2 2" xfId="3938"/>
    <cellStyle name="Финансовый 5 2 2 2 2 2 3" xfId="5721"/>
    <cellStyle name="Финансовый 5 2 2 2 2 3" xfId="3119"/>
    <cellStyle name="Финансовый 5 2 2 2 2 4" xfId="4763"/>
    <cellStyle name="Финансовый 5 2 2 2 3" xfId="2037"/>
    <cellStyle name="Финансовый 5 2 2 2 3 2" xfId="3682"/>
    <cellStyle name="Финансовый 5 2 2 2 3 3" xfId="5465"/>
    <cellStyle name="Финансовый 5 2 2 2 4" xfId="2566"/>
    <cellStyle name="Финансовый 5 2 2 2 4 2" xfId="4211"/>
    <cellStyle name="Финансовый 5 2 2 2 4 3" xfId="5994"/>
    <cellStyle name="Финансовый 5 2 2 2 5" xfId="1070"/>
    <cellStyle name="Финансовый 5 2 2 2 6" xfId="658"/>
    <cellStyle name="Финансовый 5 2 2 2 7" xfId="2847"/>
    <cellStyle name="Финансовый 5 2 2 2 8" xfId="4491"/>
    <cellStyle name="Финансовый 5 2 2 3" xfId="386"/>
    <cellStyle name="Финансовый 5 2 2 3 2" xfId="2165"/>
    <cellStyle name="Финансовый 5 2 2 3 2 2" xfId="3810"/>
    <cellStyle name="Финансовый 5 2 2 3 2 3" xfId="5593"/>
    <cellStyle name="Финансовый 5 2 2 3 3" xfId="1199"/>
    <cellStyle name="Финансовый 5 2 2 3 4" xfId="806"/>
    <cellStyle name="Финансовый 5 2 2 3 5" xfId="2983"/>
    <cellStyle name="Финансовый 5 2 2 3 6" xfId="4627"/>
    <cellStyle name="Финансовый 5 2 2 4" xfId="1545"/>
    <cellStyle name="Финансовый 5 2 2 4 2" xfId="1909"/>
    <cellStyle name="Финансовый 5 2 2 4 2 2" xfId="3554"/>
    <cellStyle name="Финансовый 5 2 2 4 2 3" xfId="5337"/>
    <cellStyle name="Финансовый 5 2 2 4 3" xfId="4973"/>
    <cellStyle name="Финансовый 5 2 2 5" xfId="1785"/>
    <cellStyle name="Финансовый 5 2 2 5 2" xfId="3430"/>
    <cellStyle name="Финансовый 5 2 2 5 3" xfId="5213"/>
    <cellStyle name="Финансовый 5 2 2 6" xfId="2430"/>
    <cellStyle name="Финансовый 5 2 2 6 2" xfId="4075"/>
    <cellStyle name="Финансовый 5 2 2 6 3" xfId="5858"/>
    <cellStyle name="Финансовый 5 2 2 7" xfId="1657"/>
    <cellStyle name="Финансовый 5 2 2 7 2" xfId="3302"/>
    <cellStyle name="Финансовый 5 2 2 7 3" xfId="5085"/>
    <cellStyle name="Финансовый 5 2 2 8" xfId="934"/>
    <cellStyle name="Финансовый 5 2 2 9" xfId="522"/>
    <cellStyle name="Финансовый 5 2 3" xfId="181"/>
    <cellStyle name="Финансовый 5 2 3 2" xfId="1279"/>
    <cellStyle name="Финансовый 5 2 3 2 2" xfId="2245"/>
    <cellStyle name="Финансовый 5 2 3 2 2 2" xfId="3890"/>
    <cellStyle name="Финансовый 5 2 3 2 2 3" xfId="5673"/>
    <cellStyle name="Финансовый 5 2 3 2 3" xfId="3063"/>
    <cellStyle name="Финансовый 5 2 3 2 4" xfId="4707"/>
    <cellStyle name="Финансовый 5 2 3 3" xfId="1989"/>
    <cellStyle name="Финансовый 5 2 3 3 2" xfId="3634"/>
    <cellStyle name="Финансовый 5 2 3 3 3" xfId="5417"/>
    <cellStyle name="Финансовый 5 2 3 4" xfId="2510"/>
    <cellStyle name="Финансовый 5 2 3 4 2" xfId="4155"/>
    <cellStyle name="Финансовый 5 2 3 4 3" xfId="5938"/>
    <cellStyle name="Финансовый 5 2 3 5" xfId="1014"/>
    <cellStyle name="Финансовый 5 2 3 6" xfId="602"/>
    <cellStyle name="Финансовый 5 2 3 7" xfId="2791"/>
    <cellStyle name="Финансовый 5 2 3 8" xfId="4435"/>
    <cellStyle name="Финансовый 5 2 4" xfId="330"/>
    <cellStyle name="Финансовый 5 2 4 2" xfId="2117"/>
    <cellStyle name="Финансовый 5 2 4 2 2" xfId="3762"/>
    <cellStyle name="Финансовый 5 2 4 2 3" xfId="5545"/>
    <cellStyle name="Финансовый 5 2 4 3" xfId="1150"/>
    <cellStyle name="Финансовый 5 2 4 4" xfId="750"/>
    <cellStyle name="Финансовый 5 2 4 5" xfId="2927"/>
    <cellStyle name="Финансовый 5 2 4 6" xfId="4571"/>
    <cellStyle name="Финансовый 5 2 5" xfId="1544"/>
    <cellStyle name="Финансовый 5 2 5 2" xfId="1853"/>
    <cellStyle name="Финансовый 5 2 5 2 2" xfId="3498"/>
    <cellStyle name="Финансовый 5 2 5 2 3" xfId="5281"/>
    <cellStyle name="Финансовый 5 2 5 3" xfId="4972"/>
    <cellStyle name="Финансовый 5 2 6" xfId="1737"/>
    <cellStyle name="Финансовый 5 2 6 2" xfId="3382"/>
    <cellStyle name="Финансовый 5 2 6 3" xfId="5165"/>
    <cellStyle name="Финансовый 5 2 7" xfId="2373"/>
    <cellStyle name="Финансовый 5 2 7 2" xfId="4018"/>
    <cellStyle name="Финансовый 5 2 7 3" xfId="5801"/>
    <cellStyle name="Финансовый 5 2 8" xfId="1600"/>
    <cellStyle name="Финансовый 5 2 8 2" xfId="3245"/>
    <cellStyle name="Финансовый 5 2 8 3" xfId="5028"/>
    <cellStyle name="Финансовый 5 2 9" xfId="886"/>
    <cellStyle name="Финансовый 5 3" xfId="113"/>
    <cellStyle name="Финансовый 5 3 10" xfId="2723"/>
    <cellStyle name="Финансовый 5 3 11" xfId="4367"/>
    <cellStyle name="Финансовый 5 3 2" xfId="249"/>
    <cellStyle name="Финансовый 5 3 2 2" xfId="1347"/>
    <cellStyle name="Финансовый 5 3 2 2 2" xfId="2305"/>
    <cellStyle name="Финансовый 5 3 2 2 2 2" xfId="3950"/>
    <cellStyle name="Финансовый 5 3 2 2 2 3" xfId="5733"/>
    <cellStyle name="Финансовый 5 3 2 2 3" xfId="3131"/>
    <cellStyle name="Финансовый 5 3 2 2 4" xfId="4775"/>
    <cellStyle name="Финансовый 5 3 2 3" xfId="2049"/>
    <cellStyle name="Финансовый 5 3 2 3 2" xfId="3694"/>
    <cellStyle name="Финансовый 5 3 2 3 3" xfId="5477"/>
    <cellStyle name="Финансовый 5 3 2 4" xfId="2578"/>
    <cellStyle name="Финансовый 5 3 2 4 2" xfId="4223"/>
    <cellStyle name="Финансовый 5 3 2 4 3" xfId="6006"/>
    <cellStyle name="Финансовый 5 3 2 5" xfId="1082"/>
    <cellStyle name="Финансовый 5 3 2 6" xfId="670"/>
    <cellStyle name="Финансовый 5 3 2 7" xfId="2859"/>
    <cellStyle name="Финансовый 5 3 2 8" xfId="4503"/>
    <cellStyle name="Финансовый 5 3 3" xfId="398"/>
    <cellStyle name="Финансовый 5 3 3 2" xfId="2177"/>
    <cellStyle name="Финансовый 5 3 3 2 2" xfId="3822"/>
    <cellStyle name="Финансовый 5 3 3 2 3" xfId="5605"/>
    <cellStyle name="Финансовый 5 3 3 3" xfId="1211"/>
    <cellStyle name="Финансовый 5 3 3 4" xfId="818"/>
    <cellStyle name="Финансовый 5 3 3 5" xfId="2995"/>
    <cellStyle name="Финансовый 5 3 3 6" xfId="4639"/>
    <cellStyle name="Финансовый 5 3 4" xfId="1546"/>
    <cellStyle name="Финансовый 5 3 4 2" xfId="1921"/>
    <cellStyle name="Финансовый 5 3 4 2 2" xfId="3566"/>
    <cellStyle name="Финансовый 5 3 4 2 3" xfId="5349"/>
    <cellStyle name="Финансовый 5 3 4 3" xfId="4974"/>
    <cellStyle name="Финансовый 5 3 5" xfId="1797"/>
    <cellStyle name="Финансовый 5 3 5 2" xfId="3442"/>
    <cellStyle name="Финансовый 5 3 5 3" xfId="5225"/>
    <cellStyle name="Финансовый 5 3 6" xfId="2442"/>
    <cellStyle name="Финансовый 5 3 6 2" xfId="4087"/>
    <cellStyle name="Финансовый 5 3 6 3" xfId="5870"/>
    <cellStyle name="Финансовый 5 3 7" xfId="1669"/>
    <cellStyle name="Финансовый 5 3 7 2" xfId="3314"/>
    <cellStyle name="Финансовый 5 3 7 3" xfId="5097"/>
    <cellStyle name="Финансовый 5 3 8" xfId="946"/>
    <cellStyle name="Финансовый 5 3 9" xfId="534"/>
    <cellStyle name="Финансовый 5 4" xfId="77"/>
    <cellStyle name="Финансовый 5 4 10" xfId="2687"/>
    <cellStyle name="Финансовый 5 4 11" xfId="4331"/>
    <cellStyle name="Финансовый 5 4 2" xfId="213"/>
    <cellStyle name="Финансовый 5 4 2 2" xfId="1311"/>
    <cellStyle name="Финансовый 5 4 2 2 2" xfId="2269"/>
    <cellStyle name="Финансовый 5 4 2 2 2 2" xfId="3914"/>
    <cellStyle name="Финансовый 5 4 2 2 2 3" xfId="5697"/>
    <cellStyle name="Финансовый 5 4 2 2 3" xfId="3095"/>
    <cellStyle name="Финансовый 5 4 2 2 4" xfId="4739"/>
    <cellStyle name="Финансовый 5 4 2 3" xfId="2013"/>
    <cellStyle name="Финансовый 5 4 2 3 2" xfId="3658"/>
    <cellStyle name="Финансовый 5 4 2 3 3" xfId="5441"/>
    <cellStyle name="Финансовый 5 4 2 4" xfId="2542"/>
    <cellStyle name="Финансовый 5 4 2 4 2" xfId="4187"/>
    <cellStyle name="Финансовый 5 4 2 4 3" xfId="5970"/>
    <cellStyle name="Финансовый 5 4 2 5" xfId="1046"/>
    <cellStyle name="Финансовый 5 4 2 6" xfId="634"/>
    <cellStyle name="Финансовый 5 4 2 7" xfId="2823"/>
    <cellStyle name="Финансовый 5 4 2 8" xfId="4467"/>
    <cellStyle name="Финансовый 5 4 3" xfId="362"/>
    <cellStyle name="Финансовый 5 4 3 2" xfId="2141"/>
    <cellStyle name="Финансовый 5 4 3 2 2" xfId="3786"/>
    <cellStyle name="Финансовый 5 4 3 2 3" xfId="5569"/>
    <cellStyle name="Финансовый 5 4 3 3" xfId="1175"/>
    <cellStyle name="Финансовый 5 4 3 4" xfId="782"/>
    <cellStyle name="Финансовый 5 4 3 5" xfId="2959"/>
    <cellStyle name="Финансовый 5 4 3 6" xfId="4603"/>
    <cellStyle name="Финансовый 5 4 4" xfId="1547"/>
    <cellStyle name="Финансовый 5 4 4 2" xfId="1885"/>
    <cellStyle name="Финансовый 5 4 4 2 2" xfId="3530"/>
    <cellStyle name="Финансовый 5 4 4 2 3" xfId="5313"/>
    <cellStyle name="Финансовый 5 4 4 3" xfId="4975"/>
    <cellStyle name="Финансовый 5 4 5" xfId="1761"/>
    <cellStyle name="Финансовый 5 4 5 2" xfId="3406"/>
    <cellStyle name="Финансовый 5 4 5 3" xfId="5189"/>
    <cellStyle name="Финансовый 5 4 6" xfId="2406"/>
    <cellStyle name="Финансовый 5 4 6 2" xfId="4051"/>
    <cellStyle name="Финансовый 5 4 6 3" xfId="5834"/>
    <cellStyle name="Финансовый 5 4 7" xfId="1633"/>
    <cellStyle name="Финансовый 5 4 7 2" xfId="3278"/>
    <cellStyle name="Финансовый 5 4 7 3" xfId="5061"/>
    <cellStyle name="Финансовый 5 4 8" xfId="910"/>
    <cellStyle name="Финансовый 5 4 9" xfId="498"/>
    <cellStyle name="Финансовый 5 5" xfId="55"/>
    <cellStyle name="Финансовый 5 5 10" xfId="2667"/>
    <cellStyle name="Финансовый 5 5 11" xfId="4310"/>
    <cellStyle name="Финансовый 5 5 2" xfId="193"/>
    <cellStyle name="Финансовый 5 5 2 2" xfId="1291"/>
    <cellStyle name="Финансовый 5 5 2 2 2" xfId="2257"/>
    <cellStyle name="Финансовый 5 5 2 2 2 2" xfId="3902"/>
    <cellStyle name="Финансовый 5 5 2 2 2 3" xfId="5685"/>
    <cellStyle name="Финансовый 5 5 2 2 3" xfId="3075"/>
    <cellStyle name="Финансовый 5 5 2 2 4" xfId="4719"/>
    <cellStyle name="Финансовый 5 5 2 3" xfId="2001"/>
    <cellStyle name="Финансовый 5 5 2 3 2" xfId="3646"/>
    <cellStyle name="Финансовый 5 5 2 3 3" xfId="5429"/>
    <cellStyle name="Финансовый 5 5 2 4" xfId="2522"/>
    <cellStyle name="Финансовый 5 5 2 4 2" xfId="4167"/>
    <cellStyle name="Финансовый 5 5 2 4 3" xfId="5950"/>
    <cellStyle name="Финансовый 5 5 2 5" xfId="1026"/>
    <cellStyle name="Финансовый 5 5 2 6" xfId="614"/>
    <cellStyle name="Финансовый 5 5 2 7" xfId="2803"/>
    <cellStyle name="Финансовый 5 5 2 8" xfId="4447"/>
    <cellStyle name="Финансовый 5 5 3" xfId="342"/>
    <cellStyle name="Финансовый 5 5 3 2" xfId="2129"/>
    <cellStyle name="Финансовый 5 5 3 2 2" xfId="3774"/>
    <cellStyle name="Финансовый 5 5 3 2 3" xfId="5557"/>
    <cellStyle name="Финансовый 5 5 3 3" xfId="1162"/>
    <cellStyle name="Финансовый 5 5 3 4" xfId="762"/>
    <cellStyle name="Финансовый 5 5 3 5" xfId="2939"/>
    <cellStyle name="Финансовый 5 5 3 6" xfId="4583"/>
    <cellStyle name="Финансовый 5 5 4" xfId="1548"/>
    <cellStyle name="Финансовый 5 5 4 2" xfId="1865"/>
    <cellStyle name="Финансовый 5 5 4 2 2" xfId="3510"/>
    <cellStyle name="Финансовый 5 5 4 2 3" xfId="5293"/>
    <cellStyle name="Финансовый 5 5 4 3" xfId="4976"/>
    <cellStyle name="Финансовый 5 5 5" xfId="1749"/>
    <cellStyle name="Финансовый 5 5 5 2" xfId="3394"/>
    <cellStyle name="Финансовый 5 5 5 3" xfId="5177"/>
    <cellStyle name="Финансовый 5 5 6" xfId="2385"/>
    <cellStyle name="Финансовый 5 5 6 2" xfId="4030"/>
    <cellStyle name="Финансовый 5 5 6 3" xfId="5813"/>
    <cellStyle name="Финансовый 5 5 7" xfId="1612"/>
    <cellStyle name="Финансовый 5 5 7 2" xfId="3257"/>
    <cellStyle name="Финансовый 5 5 7 3" xfId="5040"/>
    <cellStyle name="Финансовый 5 5 8" xfId="898"/>
    <cellStyle name="Финансовый 5 5 9" xfId="478"/>
    <cellStyle name="Финансовый 5 6" xfId="133"/>
    <cellStyle name="Финансовый 5 6 10" xfId="2743"/>
    <cellStyle name="Финансовый 5 6 11" xfId="4387"/>
    <cellStyle name="Финансовый 5 6 2" xfId="269"/>
    <cellStyle name="Финансовый 5 6 2 2" xfId="1367"/>
    <cellStyle name="Финансовый 5 6 2 2 2" xfId="2325"/>
    <cellStyle name="Финансовый 5 6 2 2 2 2" xfId="3970"/>
    <cellStyle name="Финансовый 5 6 2 2 2 3" xfId="5753"/>
    <cellStyle name="Финансовый 5 6 2 2 3" xfId="3151"/>
    <cellStyle name="Финансовый 5 6 2 2 4" xfId="4795"/>
    <cellStyle name="Финансовый 5 6 2 3" xfId="2069"/>
    <cellStyle name="Финансовый 5 6 2 3 2" xfId="3714"/>
    <cellStyle name="Финансовый 5 6 2 3 3" xfId="5497"/>
    <cellStyle name="Финансовый 5 6 2 4" xfId="2598"/>
    <cellStyle name="Финансовый 5 6 2 4 2" xfId="4243"/>
    <cellStyle name="Финансовый 5 6 2 4 3" xfId="6026"/>
    <cellStyle name="Финансовый 5 6 2 5" xfId="1102"/>
    <cellStyle name="Финансовый 5 6 2 6" xfId="690"/>
    <cellStyle name="Финансовый 5 6 2 7" xfId="2879"/>
    <cellStyle name="Финансовый 5 6 2 8" xfId="4523"/>
    <cellStyle name="Финансовый 5 6 3" xfId="418"/>
    <cellStyle name="Финансовый 5 6 3 2" xfId="2197"/>
    <cellStyle name="Финансовый 5 6 3 2 2" xfId="3842"/>
    <cellStyle name="Финансовый 5 6 3 2 3" xfId="5625"/>
    <cellStyle name="Финансовый 5 6 3 3" xfId="1231"/>
    <cellStyle name="Финансовый 5 6 3 4" xfId="838"/>
    <cellStyle name="Финансовый 5 6 3 5" xfId="3015"/>
    <cellStyle name="Финансовый 5 6 3 6" xfId="4659"/>
    <cellStyle name="Финансовый 5 6 4" xfId="1549"/>
    <cellStyle name="Финансовый 5 6 4 2" xfId="1941"/>
    <cellStyle name="Финансовый 5 6 4 2 2" xfId="3586"/>
    <cellStyle name="Финансовый 5 6 4 2 3" xfId="5369"/>
    <cellStyle name="Финансовый 5 6 4 3" xfId="4977"/>
    <cellStyle name="Финансовый 5 6 5" xfId="1817"/>
    <cellStyle name="Финансовый 5 6 5 2" xfId="3462"/>
    <cellStyle name="Финансовый 5 6 5 3" xfId="5245"/>
    <cellStyle name="Финансовый 5 6 6" xfId="2462"/>
    <cellStyle name="Финансовый 5 6 6 2" xfId="4107"/>
    <cellStyle name="Финансовый 5 6 6 3" xfId="5890"/>
    <cellStyle name="Финансовый 5 6 7" xfId="1689"/>
    <cellStyle name="Финансовый 5 6 7 2" xfId="3334"/>
    <cellStyle name="Финансовый 5 6 7 3" xfId="5117"/>
    <cellStyle name="Финансовый 5 6 8" xfId="966"/>
    <cellStyle name="Финансовый 5 6 9" xfId="554"/>
    <cellStyle name="Финансовый 5 7" xfId="31"/>
    <cellStyle name="Финансовый 5 7 10" xfId="2643"/>
    <cellStyle name="Финансовый 5 7 11" xfId="4286"/>
    <cellStyle name="Финансовый 5 7 2" xfId="169"/>
    <cellStyle name="Финансовый 5 7 2 2" xfId="1267"/>
    <cellStyle name="Финансовый 5 7 2 2 2" xfId="2233"/>
    <cellStyle name="Финансовый 5 7 2 2 2 2" xfId="3878"/>
    <cellStyle name="Финансовый 5 7 2 2 2 3" xfId="5661"/>
    <cellStyle name="Финансовый 5 7 2 2 3" xfId="3051"/>
    <cellStyle name="Финансовый 5 7 2 2 4" xfId="4695"/>
    <cellStyle name="Финансовый 5 7 2 3" xfId="1977"/>
    <cellStyle name="Финансовый 5 7 2 3 2" xfId="3622"/>
    <cellStyle name="Финансовый 5 7 2 3 3" xfId="5405"/>
    <cellStyle name="Финансовый 5 7 2 4" xfId="2498"/>
    <cellStyle name="Финансовый 5 7 2 4 2" xfId="4143"/>
    <cellStyle name="Финансовый 5 7 2 4 3" xfId="5926"/>
    <cellStyle name="Финансовый 5 7 2 5" xfId="1002"/>
    <cellStyle name="Финансовый 5 7 2 6" xfId="590"/>
    <cellStyle name="Финансовый 5 7 2 7" xfId="2779"/>
    <cellStyle name="Финансовый 5 7 2 8" xfId="4423"/>
    <cellStyle name="Финансовый 5 7 3" xfId="318"/>
    <cellStyle name="Финансовый 5 7 3 2" xfId="2105"/>
    <cellStyle name="Финансовый 5 7 3 2 2" xfId="3750"/>
    <cellStyle name="Финансовый 5 7 3 2 3" xfId="5533"/>
    <cellStyle name="Финансовый 5 7 3 3" xfId="1138"/>
    <cellStyle name="Финансовый 5 7 3 4" xfId="738"/>
    <cellStyle name="Финансовый 5 7 3 5" xfId="2915"/>
    <cellStyle name="Финансовый 5 7 3 6" xfId="4559"/>
    <cellStyle name="Финансовый 5 7 4" xfId="1550"/>
    <cellStyle name="Финансовый 5 7 4 2" xfId="1841"/>
    <cellStyle name="Финансовый 5 7 4 2 2" xfId="3486"/>
    <cellStyle name="Финансовый 5 7 4 2 3" xfId="5269"/>
    <cellStyle name="Финансовый 5 7 4 3" xfId="4978"/>
    <cellStyle name="Финансовый 5 7 5" xfId="1725"/>
    <cellStyle name="Финансовый 5 7 5 2" xfId="3370"/>
    <cellStyle name="Финансовый 5 7 5 3" xfId="5153"/>
    <cellStyle name="Финансовый 5 7 6" xfId="2361"/>
    <cellStyle name="Финансовый 5 7 6 2" xfId="4006"/>
    <cellStyle name="Финансовый 5 7 6 3" xfId="5789"/>
    <cellStyle name="Финансовый 5 7 7" xfId="1588"/>
    <cellStyle name="Финансовый 5 7 7 2" xfId="3233"/>
    <cellStyle name="Финансовый 5 7 7 3" xfId="5016"/>
    <cellStyle name="Финансовый 5 7 8" xfId="874"/>
    <cellStyle name="Финансовый 5 7 9" xfId="454"/>
    <cellStyle name="Финансовый 5 8" xfId="19"/>
    <cellStyle name="Финансовый 5 8 10" xfId="2631"/>
    <cellStyle name="Финансовый 5 8 11" xfId="4274"/>
    <cellStyle name="Финансовый 5 8 2" xfId="157"/>
    <cellStyle name="Финансовый 5 8 2 2" xfId="1255"/>
    <cellStyle name="Финансовый 5 8 2 2 2" xfId="2221"/>
    <cellStyle name="Финансовый 5 8 2 2 2 2" xfId="3866"/>
    <cellStyle name="Финансовый 5 8 2 2 2 3" xfId="5649"/>
    <cellStyle name="Финансовый 5 8 2 2 3" xfId="3039"/>
    <cellStyle name="Финансовый 5 8 2 2 4" xfId="4683"/>
    <cellStyle name="Финансовый 5 8 2 3" xfId="1965"/>
    <cellStyle name="Финансовый 5 8 2 3 2" xfId="3610"/>
    <cellStyle name="Финансовый 5 8 2 3 3" xfId="5393"/>
    <cellStyle name="Финансовый 5 8 2 4" xfId="2486"/>
    <cellStyle name="Финансовый 5 8 2 4 2" xfId="4131"/>
    <cellStyle name="Финансовый 5 8 2 4 3" xfId="5914"/>
    <cellStyle name="Финансовый 5 8 2 5" xfId="990"/>
    <cellStyle name="Финансовый 5 8 2 6" xfId="578"/>
    <cellStyle name="Финансовый 5 8 2 7" xfId="2767"/>
    <cellStyle name="Финансовый 5 8 2 8" xfId="4411"/>
    <cellStyle name="Финансовый 5 8 3" xfId="306"/>
    <cellStyle name="Финансовый 5 8 3 2" xfId="2093"/>
    <cellStyle name="Финансовый 5 8 3 2 2" xfId="3738"/>
    <cellStyle name="Финансовый 5 8 3 2 3" xfId="5521"/>
    <cellStyle name="Финансовый 5 8 3 3" xfId="1126"/>
    <cellStyle name="Финансовый 5 8 3 4" xfId="726"/>
    <cellStyle name="Финансовый 5 8 3 5" xfId="2903"/>
    <cellStyle name="Финансовый 5 8 3 6" xfId="4547"/>
    <cellStyle name="Финансовый 5 8 4" xfId="1551"/>
    <cellStyle name="Финансовый 5 8 4 2" xfId="1829"/>
    <cellStyle name="Финансовый 5 8 4 2 2" xfId="3474"/>
    <cellStyle name="Финансовый 5 8 4 2 3" xfId="5257"/>
    <cellStyle name="Финансовый 5 8 4 3" xfId="4979"/>
    <cellStyle name="Финансовый 5 8 5" xfId="1713"/>
    <cellStyle name="Финансовый 5 8 5 2" xfId="3358"/>
    <cellStyle name="Финансовый 5 8 5 3" xfId="5141"/>
    <cellStyle name="Финансовый 5 8 6" xfId="2349"/>
    <cellStyle name="Финансовый 5 8 6 2" xfId="3994"/>
    <cellStyle name="Финансовый 5 8 6 3" xfId="5777"/>
    <cellStyle name="Финансовый 5 8 7" xfId="1576"/>
    <cellStyle name="Финансовый 5 8 7 2" xfId="3221"/>
    <cellStyle name="Финансовый 5 8 7 3" xfId="5004"/>
    <cellStyle name="Финансовый 5 8 8" xfId="862"/>
    <cellStyle name="Финансовый 5 8 9" xfId="442"/>
    <cellStyle name="Финансовый 5 9" xfId="145"/>
    <cellStyle name="Финансовый 5 9 2" xfId="1243"/>
    <cellStyle name="Финансовый 5 9 2 2" xfId="2209"/>
    <cellStyle name="Финансовый 5 9 2 2 2" xfId="3854"/>
    <cellStyle name="Финансовый 5 9 2 2 3" xfId="5637"/>
    <cellStyle name="Финансовый 5 9 2 3" xfId="3027"/>
    <cellStyle name="Финансовый 5 9 2 4" xfId="4671"/>
    <cellStyle name="Финансовый 5 9 3" xfId="1953"/>
    <cellStyle name="Финансовый 5 9 3 2" xfId="3598"/>
    <cellStyle name="Финансовый 5 9 3 3" xfId="5381"/>
    <cellStyle name="Финансовый 5 9 4" xfId="2474"/>
    <cellStyle name="Финансовый 5 9 4 2" xfId="4119"/>
    <cellStyle name="Финансовый 5 9 4 3" xfId="5902"/>
    <cellStyle name="Финансовый 5 9 5" xfId="978"/>
    <cellStyle name="Финансовый 5 9 6" xfId="566"/>
    <cellStyle name="Финансовый 5 9 7" xfId="2755"/>
    <cellStyle name="Финансовый 5 9 8" xfId="4399"/>
    <cellStyle name="Финансовый 6" xfId="37"/>
    <cellStyle name="Финансовый 6 10" xfId="880"/>
    <cellStyle name="Финансовый 6 11" xfId="460"/>
    <cellStyle name="Финансовый 6 12" xfId="2649"/>
    <cellStyle name="Финансовый 6 13" xfId="4292"/>
    <cellStyle name="Финансовый 6 2" xfId="119"/>
    <cellStyle name="Финансовый 6 2 10" xfId="2729"/>
    <cellStyle name="Финансовый 6 2 11" xfId="4373"/>
    <cellStyle name="Финансовый 6 2 2" xfId="255"/>
    <cellStyle name="Финансовый 6 2 2 2" xfId="1353"/>
    <cellStyle name="Финансовый 6 2 2 2 2" xfId="2311"/>
    <cellStyle name="Финансовый 6 2 2 2 2 2" xfId="3956"/>
    <cellStyle name="Финансовый 6 2 2 2 2 3" xfId="5739"/>
    <cellStyle name="Финансовый 6 2 2 2 3" xfId="3137"/>
    <cellStyle name="Финансовый 6 2 2 2 4" xfId="4781"/>
    <cellStyle name="Финансовый 6 2 2 3" xfId="2055"/>
    <cellStyle name="Финансовый 6 2 2 3 2" xfId="3700"/>
    <cellStyle name="Финансовый 6 2 2 3 3" xfId="5483"/>
    <cellStyle name="Финансовый 6 2 2 4" xfId="2584"/>
    <cellStyle name="Финансовый 6 2 2 4 2" xfId="4229"/>
    <cellStyle name="Финансовый 6 2 2 4 3" xfId="6012"/>
    <cellStyle name="Финансовый 6 2 2 5" xfId="1088"/>
    <cellStyle name="Финансовый 6 2 2 6" xfId="676"/>
    <cellStyle name="Финансовый 6 2 2 7" xfId="2865"/>
    <cellStyle name="Финансовый 6 2 2 8" xfId="4509"/>
    <cellStyle name="Финансовый 6 2 3" xfId="404"/>
    <cellStyle name="Финансовый 6 2 3 2" xfId="2183"/>
    <cellStyle name="Финансовый 6 2 3 2 2" xfId="3828"/>
    <cellStyle name="Финансовый 6 2 3 2 3" xfId="5611"/>
    <cellStyle name="Финансовый 6 2 3 3" xfId="1217"/>
    <cellStyle name="Финансовый 6 2 3 4" xfId="824"/>
    <cellStyle name="Финансовый 6 2 3 5" xfId="3001"/>
    <cellStyle name="Финансовый 6 2 3 6" xfId="4645"/>
    <cellStyle name="Финансовый 6 2 4" xfId="1553"/>
    <cellStyle name="Финансовый 6 2 4 2" xfId="1927"/>
    <cellStyle name="Финансовый 6 2 4 2 2" xfId="3572"/>
    <cellStyle name="Финансовый 6 2 4 2 3" xfId="5355"/>
    <cellStyle name="Финансовый 6 2 4 3" xfId="4981"/>
    <cellStyle name="Финансовый 6 2 5" xfId="1803"/>
    <cellStyle name="Финансовый 6 2 5 2" xfId="3448"/>
    <cellStyle name="Финансовый 6 2 5 3" xfId="5231"/>
    <cellStyle name="Финансовый 6 2 6" xfId="2448"/>
    <cellStyle name="Финансовый 6 2 6 2" xfId="4093"/>
    <cellStyle name="Финансовый 6 2 6 3" xfId="5876"/>
    <cellStyle name="Финансовый 6 2 7" xfId="1675"/>
    <cellStyle name="Финансовый 6 2 7 2" xfId="3320"/>
    <cellStyle name="Финансовый 6 2 7 3" xfId="5103"/>
    <cellStyle name="Финансовый 6 2 8" xfId="952"/>
    <cellStyle name="Финансовый 6 2 9" xfId="540"/>
    <cellStyle name="Финансовый 6 3" xfId="83"/>
    <cellStyle name="Финансовый 6 3 10" xfId="2693"/>
    <cellStyle name="Финансовый 6 3 11" xfId="4337"/>
    <cellStyle name="Финансовый 6 3 2" xfId="219"/>
    <cellStyle name="Финансовый 6 3 2 2" xfId="1317"/>
    <cellStyle name="Финансовый 6 3 2 2 2" xfId="2275"/>
    <cellStyle name="Финансовый 6 3 2 2 2 2" xfId="3920"/>
    <cellStyle name="Финансовый 6 3 2 2 2 3" xfId="5703"/>
    <cellStyle name="Финансовый 6 3 2 2 3" xfId="3101"/>
    <cellStyle name="Финансовый 6 3 2 2 4" xfId="4745"/>
    <cellStyle name="Финансовый 6 3 2 3" xfId="2019"/>
    <cellStyle name="Финансовый 6 3 2 3 2" xfId="3664"/>
    <cellStyle name="Финансовый 6 3 2 3 3" xfId="5447"/>
    <cellStyle name="Финансовый 6 3 2 4" xfId="2548"/>
    <cellStyle name="Финансовый 6 3 2 4 2" xfId="4193"/>
    <cellStyle name="Финансовый 6 3 2 4 3" xfId="5976"/>
    <cellStyle name="Финансовый 6 3 2 5" xfId="1052"/>
    <cellStyle name="Финансовый 6 3 2 6" xfId="640"/>
    <cellStyle name="Финансовый 6 3 2 7" xfId="2829"/>
    <cellStyle name="Финансовый 6 3 2 8" xfId="4473"/>
    <cellStyle name="Финансовый 6 3 3" xfId="368"/>
    <cellStyle name="Финансовый 6 3 3 2" xfId="2147"/>
    <cellStyle name="Финансовый 6 3 3 2 2" xfId="3792"/>
    <cellStyle name="Финансовый 6 3 3 2 3" xfId="5575"/>
    <cellStyle name="Финансовый 6 3 3 3" xfId="1181"/>
    <cellStyle name="Финансовый 6 3 3 4" xfId="788"/>
    <cellStyle name="Финансовый 6 3 3 5" xfId="2965"/>
    <cellStyle name="Финансовый 6 3 3 6" xfId="4609"/>
    <cellStyle name="Финансовый 6 3 4" xfId="1443"/>
    <cellStyle name="Финансовый 6 3 4 2" xfId="1891"/>
    <cellStyle name="Финансовый 6 3 4 2 2" xfId="3536"/>
    <cellStyle name="Финансовый 6 3 4 2 3" xfId="5319"/>
    <cellStyle name="Финансовый 6 3 4 3" xfId="4871"/>
    <cellStyle name="Финансовый 6 3 5" xfId="1767"/>
    <cellStyle name="Финансовый 6 3 5 2" xfId="3412"/>
    <cellStyle name="Финансовый 6 3 5 3" xfId="5195"/>
    <cellStyle name="Финансовый 6 3 6" xfId="2412"/>
    <cellStyle name="Финансовый 6 3 6 2" xfId="4057"/>
    <cellStyle name="Финансовый 6 3 6 3" xfId="5840"/>
    <cellStyle name="Финансовый 6 3 7" xfId="1639"/>
    <cellStyle name="Финансовый 6 3 7 2" xfId="3284"/>
    <cellStyle name="Финансовый 6 3 7 3" xfId="5067"/>
    <cellStyle name="Финансовый 6 3 8" xfId="916"/>
    <cellStyle name="Финансовый 6 3 9" xfId="504"/>
    <cellStyle name="Финансовый 6 4" xfId="175"/>
    <cellStyle name="Финансовый 6 4 2" xfId="1273"/>
    <cellStyle name="Финансовый 6 4 2 2" xfId="2239"/>
    <cellStyle name="Финансовый 6 4 2 2 2" xfId="3884"/>
    <cellStyle name="Финансовый 6 4 2 2 3" xfId="5667"/>
    <cellStyle name="Финансовый 6 4 2 3" xfId="3057"/>
    <cellStyle name="Финансовый 6 4 2 4" xfId="4701"/>
    <cellStyle name="Финансовый 6 4 3" xfId="1983"/>
    <cellStyle name="Финансовый 6 4 3 2" xfId="3628"/>
    <cellStyle name="Финансовый 6 4 3 3" xfId="5411"/>
    <cellStyle name="Финансовый 6 4 4" xfId="2504"/>
    <cellStyle name="Финансовый 6 4 4 2" xfId="4149"/>
    <cellStyle name="Финансовый 6 4 4 3" xfId="5932"/>
    <cellStyle name="Финансовый 6 4 5" xfId="1008"/>
    <cellStyle name="Финансовый 6 4 6" xfId="596"/>
    <cellStyle name="Финансовый 6 4 7" xfId="2785"/>
    <cellStyle name="Финансовый 6 4 8" xfId="4429"/>
    <cellStyle name="Финансовый 6 5" xfId="324"/>
    <cellStyle name="Финансовый 6 5 2" xfId="2111"/>
    <cellStyle name="Финансовый 6 5 2 2" xfId="3756"/>
    <cellStyle name="Финансовый 6 5 2 3" xfId="5539"/>
    <cellStyle name="Финансовый 6 5 3" xfId="1144"/>
    <cellStyle name="Финансовый 6 5 4" xfId="744"/>
    <cellStyle name="Финансовый 6 5 5" xfId="2921"/>
    <cellStyle name="Финансовый 6 5 6" xfId="4565"/>
    <cellStyle name="Финансовый 6 6" xfId="1552"/>
    <cellStyle name="Финансовый 6 6 2" xfId="1847"/>
    <cellStyle name="Финансовый 6 6 2 2" xfId="3492"/>
    <cellStyle name="Финансовый 6 6 2 3" xfId="5275"/>
    <cellStyle name="Финансовый 6 6 3" xfId="4980"/>
    <cellStyle name="Финансовый 6 7" xfId="1731"/>
    <cellStyle name="Финансовый 6 7 2" xfId="3376"/>
    <cellStyle name="Финансовый 6 7 3" xfId="5159"/>
    <cellStyle name="Финансовый 6 8" xfId="2367"/>
    <cellStyle name="Финансовый 6 8 2" xfId="4012"/>
    <cellStyle name="Финансовый 6 8 3" xfId="5795"/>
    <cellStyle name="Финансовый 6 9" xfId="1594"/>
    <cellStyle name="Финансовый 6 9 2" xfId="3239"/>
    <cellStyle name="Финансовый 6 9 3" xfId="5022"/>
    <cellStyle name="Финансовый 7" xfId="89"/>
    <cellStyle name="Финансовый 7 10" xfId="2699"/>
    <cellStyle name="Финансовый 7 11" xfId="4343"/>
    <cellStyle name="Финансовый 7 2" xfId="225"/>
    <cellStyle name="Финансовый 7 2 2" xfId="1323"/>
    <cellStyle name="Финансовый 7 2 2 2" xfId="2281"/>
    <cellStyle name="Финансовый 7 2 2 2 2" xfId="3926"/>
    <cellStyle name="Финансовый 7 2 2 2 3" xfId="5709"/>
    <cellStyle name="Финансовый 7 2 2 3" xfId="3107"/>
    <cellStyle name="Финансовый 7 2 2 4" xfId="4751"/>
    <cellStyle name="Финансовый 7 2 3" xfId="2025"/>
    <cellStyle name="Финансовый 7 2 3 2" xfId="3670"/>
    <cellStyle name="Финансовый 7 2 3 3" xfId="5453"/>
    <cellStyle name="Финансовый 7 2 4" xfId="2554"/>
    <cellStyle name="Финансовый 7 2 4 2" xfId="4199"/>
    <cellStyle name="Финансовый 7 2 4 3" xfId="5982"/>
    <cellStyle name="Финансовый 7 2 5" xfId="1058"/>
    <cellStyle name="Финансовый 7 2 6" xfId="646"/>
    <cellStyle name="Финансовый 7 2 7" xfId="2835"/>
    <cellStyle name="Финансовый 7 2 8" xfId="4479"/>
    <cellStyle name="Финансовый 7 3" xfId="374"/>
    <cellStyle name="Финансовый 7 3 2" xfId="2153"/>
    <cellStyle name="Финансовый 7 3 2 2" xfId="3798"/>
    <cellStyle name="Финансовый 7 3 2 3" xfId="5581"/>
    <cellStyle name="Финансовый 7 3 3" xfId="1187"/>
    <cellStyle name="Финансовый 7 3 4" xfId="794"/>
    <cellStyle name="Финансовый 7 3 5" xfId="2971"/>
    <cellStyle name="Финансовый 7 3 6" xfId="4615"/>
    <cellStyle name="Финансовый 7 4" xfId="1554"/>
    <cellStyle name="Финансовый 7 4 2" xfId="1897"/>
    <cellStyle name="Финансовый 7 4 2 2" xfId="3542"/>
    <cellStyle name="Финансовый 7 4 2 3" xfId="5325"/>
    <cellStyle name="Финансовый 7 4 3" xfId="4982"/>
    <cellStyle name="Финансовый 7 5" xfId="1773"/>
    <cellStyle name="Финансовый 7 5 2" xfId="3418"/>
    <cellStyle name="Финансовый 7 5 3" xfId="5201"/>
    <cellStyle name="Финансовый 7 6" xfId="2418"/>
    <cellStyle name="Финансовый 7 6 2" xfId="4063"/>
    <cellStyle name="Финансовый 7 6 3" xfId="5846"/>
    <cellStyle name="Финансовый 7 7" xfId="1645"/>
    <cellStyle name="Финансовый 7 7 2" xfId="3290"/>
    <cellStyle name="Финансовый 7 7 3" xfId="5073"/>
    <cellStyle name="Финансовый 7 8" xfId="922"/>
    <cellStyle name="Финансовый 7 9" xfId="510"/>
    <cellStyle name="Финансовый 8" xfId="95"/>
    <cellStyle name="Финансовый 8 10" xfId="2705"/>
    <cellStyle name="Финансовый 8 11" xfId="4349"/>
    <cellStyle name="Финансовый 8 2" xfId="231"/>
    <cellStyle name="Финансовый 8 2 2" xfId="1329"/>
    <cellStyle name="Финансовый 8 2 2 2" xfId="2287"/>
    <cellStyle name="Финансовый 8 2 2 2 2" xfId="3932"/>
    <cellStyle name="Финансовый 8 2 2 2 3" xfId="5715"/>
    <cellStyle name="Финансовый 8 2 2 3" xfId="3113"/>
    <cellStyle name="Финансовый 8 2 2 4" xfId="4757"/>
    <cellStyle name="Финансовый 8 2 3" xfId="2031"/>
    <cellStyle name="Финансовый 8 2 3 2" xfId="3676"/>
    <cellStyle name="Финансовый 8 2 3 3" xfId="5459"/>
    <cellStyle name="Финансовый 8 2 4" xfId="2560"/>
    <cellStyle name="Финансовый 8 2 4 2" xfId="4205"/>
    <cellStyle name="Финансовый 8 2 4 3" xfId="5988"/>
    <cellStyle name="Финансовый 8 2 5" xfId="1064"/>
    <cellStyle name="Финансовый 8 2 6" xfId="652"/>
    <cellStyle name="Финансовый 8 2 7" xfId="2841"/>
    <cellStyle name="Финансовый 8 2 8" xfId="4485"/>
    <cellStyle name="Финансовый 8 3" xfId="380"/>
    <cellStyle name="Финансовый 8 3 2" xfId="2159"/>
    <cellStyle name="Финансовый 8 3 2 2" xfId="3804"/>
    <cellStyle name="Финансовый 8 3 2 3" xfId="5587"/>
    <cellStyle name="Финансовый 8 3 3" xfId="1193"/>
    <cellStyle name="Финансовый 8 3 4" xfId="800"/>
    <cellStyle name="Финансовый 8 3 5" xfId="2977"/>
    <cellStyle name="Финансовый 8 3 6" xfId="4621"/>
    <cellStyle name="Финансовый 8 4" xfId="1555"/>
    <cellStyle name="Финансовый 8 4 2" xfId="1903"/>
    <cellStyle name="Финансовый 8 4 2 2" xfId="3548"/>
    <cellStyle name="Финансовый 8 4 2 3" xfId="5331"/>
    <cellStyle name="Финансовый 8 4 3" xfId="4983"/>
    <cellStyle name="Финансовый 8 5" xfId="1779"/>
    <cellStyle name="Финансовый 8 5 2" xfId="3424"/>
    <cellStyle name="Финансовый 8 5 3" xfId="5207"/>
    <cellStyle name="Финансовый 8 6" xfId="2424"/>
    <cellStyle name="Финансовый 8 6 2" xfId="4069"/>
    <cellStyle name="Финансовый 8 6 3" xfId="5852"/>
    <cellStyle name="Финансовый 8 7" xfId="1651"/>
    <cellStyle name="Финансовый 8 7 2" xfId="3296"/>
    <cellStyle name="Финансовый 8 7 3" xfId="5079"/>
    <cellStyle name="Финансовый 8 8" xfId="928"/>
    <cellStyle name="Финансовый 8 9" xfId="516"/>
    <cellStyle name="Финансовый 9" xfId="107"/>
    <cellStyle name="Финансовый 9 10" xfId="2717"/>
    <cellStyle name="Финансовый 9 11" xfId="4361"/>
    <cellStyle name="Финансовый 9 2" xfId="243"/>
    <cellStyle name="Финансовый 9 2 2" xfId="1341"/>
    <cellStyle name="Финансовый 9 2 2 2" xfId="2299"/>
    <cellStyle name="Финансовый 9 2 2 2 2" xfId="3944"/>
    <cellStyle name="Финансовый 9 2 2 2 3" xfId="5727"/>
    <cellStyle name="Финансовый 9 2 2 3" xfId="3125"/>
    <cellStyle name="Финансовый 9 2 2 4" xfId="4769"/>
    <cellStyle name="Финансовый 9 2 3" xfId="2043"/>
    <cellStyle name="Финансовый 9 2 3 2" xfId="3688"/>
    <cellStyle name="Финансовый 9 2 3 3" xfId="5471"/>
    <cellStyle name="Финансовый 9 2 4" xfId="2572"/>
    <cellStyle name="Финансовый 9 2 4 2" xfId="4217"/>
    <cellStyle name="Финансовый 9 2 4 3" xfId="6000"/>
    <cellStyle name="Финансовый 9 2 5" xfId="1076"/>
    <cellStyle name="Финансовый 9 2 6" xfId="664"/>
    <cellStyle name="Финансовый 9 2 7" xfId="2853"/>
    <cellStyle name="Финансовый 9 2 8" xfId="4497"/>
    <cellStyle name="Финансовый 9 3" xfId="392"/>
    <cellStyle name="Финансовый 9 3 2" xfId="2171"/>
    <cellStyle name="Финансовый 9 3 2 2" xfId="3816"/>
    <cellStyle name="Финансовый 9 3 2 3" xfId="5599"/>
    <cellStyle name="Финансовый 9 3 3" xfId="1205"/>
    <cellStyle name="Финансовый 9 3 4" xfId="812"/>
    <cellStyle name="Финансовый 9 3 5" xfId="2989"/>
    <cellStyle name="Финансовый 9 3 6" xfId="4633"/>
    <cellStyle name="Финансовый 9 4" xfId="1556"/>
    <cellStyle name="Финансовый 9 4 2" xfId="1915"/>
    <cellStyle name="Финансовый 9 4 2 2" xfId="3560"/>
    <cellStyle name="Финансовый 9 4 2 3" xfId="5343"/>
    <cellStyle name="Финансовый 9 4 3" xfId="4984"/>
    <cellStyle name="Финансовый 9 5" xfId="1791"/>
    <cellStyle name="Финансовый 9 5 2" xfId="3436"/>
    <cellStyle name="Финансовый 9 5 3" xfId="5219"/>
    <cellStyle name="Финансовый 9 6" xfId="2436"/>
    <cellStyle name="Финансовый 9 6 2" xfId="4081"/>
    <cellStyle name="Финансовый 9 6 3" xfId="5864"/>
    <cellStyle name="Финансовый 9 7" xfId="1663"/>
    <cellStyle name="Финансовый 9 7 2" xfId="3308"/>
    <cellStyle name="Финансовый 9 7 3" xfId="5091"/>
    <cellStyle name="Финансовый 9 8" xfId="940"/>
    <cellStyle name="Финансовый 9 9" xfId="528"/>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45326</xdr:colOff>
      <xdr:row>0</xdr:row>
      <xdr:rowOff>28575</xdr:rowOff>
    </xdr:from>
    <xdr:to>
      <xdr:col>0</xdr:col>
      <xdr:colOff>799636</xdr:colOff>
      <xdr:row>4</xdr:row>
      <xdr:rowOff>22117</xdr:rowOff>
    </xdr:to>
    <xdr:pic>
      <xdr:nvPicPr>
        <xdr:cNvPr id="4" name="Image 1">
          <a:extLst>
            <a:ext uri="{FF2B5EF4-FFF2-40B4-BE49-F238E27FC236}">
              <a16:creationId xmlns="" xmlns:a16="http://schemas.microsoft.com/office/drawing/2014/main" id="{58E72672-7C31-4830-A884-42011E612024}"/>
            </a:ext>
          </a:extLst>
        </xdr:cNvPr>
        <xdr:cNvPicPr/>
      </xdr:nvPicPr>
      <xdr:blipFill>
        <a:blip xmlns:r="http://schemas.openxmlformats.org/officeDocument/2006/relationships" r:embed="rId1" cstate="print"/>
        <a:stretch>
          <a:fillRect/>
        </a:stretch>
      </xdr:blipFill>
      <xdr:spPr>
        <a:xfrm>
          <a:off x="45326" y="28575"/>
          <a:ext cx="754310" cy="755542"/>
        </a:xfrm>
        <a:prstGeom prst="rect">
          <a:avLst/>
        </a:prstGeom>
      </xdr:spPr>
    </xdr:pic>
    <xdr:clientData/>
  </xdr:twoCellAnchor>
  <xdr:twoCellAnchor editAs="oneCell">
    <xdr:from>
      <xdr:col>3</xdr:col>
      <xdr:colOff>638175</xdr:colOff>
      <xdr:row>0</xdr:row>
      <xdr:rowOff>19050</xdr:rowOff>
    </xdr:from>
    <xdr:to>
      <xdr:col>3</xdr:col>
      <xdr:colOff>1717501</xdr:colOff>
      <xdr:row>4</xdr:row>
      <xdr:rowOff>7525</xdr:rowOff>
    </xdr:to>
    <xdr:pic>
      <xdr:nvPicPr>
        <xdr:cNvPr id="5" name="Image 2">
          <a:extLst>
            <a:ext uri="{FF2B5EF4-FFF2-40B4-BE49-F238E27FC236}">
              <a16:creationId xmlns="" xmlns:a16="http://schemas.microsoft.com/office/drawing/2014/main" id="{A43254B9-9A06-470C-8D39-65F9AAB9C3C8}"/>
            </a:ext>
          </a:extLst>
        </xdr:cNvPr>
        <xdr:cNvPicPr/>
      </xdr:nvPicPr>
      <xdr:blipFill>
        <a:blip xmlns:r="http://schemas.openxmlformats.org/officeDocument/2006/relationships" r:embed="rId2" cstate="print"/>
        <a:stretch>
          <a:fillRect/>
        </a:stretch>
      </xdr:blipFill>
      <xdr:spPr>
        <a:xfrm>
          <a:off x="4705350" y="1905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1056;&#1072;&#1073;&#1086;&#1095;&#1080;&#1081;%20&#1089;&#1090;&#1086;&#1083;\123123\22_12_2022_KALBAYEV_AYBEK_MAKSETOVICH_1974_&#1089;&#1087;&#1072;&#1088;&#1082;_30_2_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PycharmProjects/payup/media/mikroqarz_templat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lumot"/>
      <sheetName val="shartnoma"/>
      <sheetName val="buyruq"/>
      <sheetName val="bayonnoma"/>
      <sheetName val="График дифференц"/>
      <sheetName val="Данные для послед. Залога"/>
      <sheetName val="График аннуитет."/>
      <sheetName val="xulosa"/>
      <sheetName val="grafik"/>
      <sheetName val="dalolatnoma"/>
      <sheetName val="ariza"/>
      <sheetName val="muqova"/>
      <sheetName val="mijoz_anketasi"/>
      <sheetName val="majburiyatnoma"/>
      <sheetName val="kredit_ariza"/>
      <sheetName val="garov_ariza"/>
      <sheetName val="Письмо"/>
      <sheetName val="akt_monitoring_1"/>
      <sheetName val="akt_monitoring_2"/>
      <sheetName val="akt_monitoring_3"/>
      <sheetName val="akt_monitoring_4"/>
      <sheetName val="notarius"/>
      <sheetName val="Анкета 2"/>
    </sheetNames>
    <sheetDataSet>
      <sheetData sheetId="0">
        <row r="1">
          <cell r="B1" t="str">
            <v>№ 687-BR</v>
          </cell>
        </row>
        <row r="2">
          <cell r="B2" t="str">
            <v>01.04.2025</v>
          </cell>
        </row>
        <row r="5">
          <cell r="B5" t="str">
            <v>XAYATOV OTABEK KURBANOVICH</v>
          </cell>
        </row>
        <row r="12">
          <cell r="B12" t="str">
            <v>XAYATOV OTABEK KURBANOVICH</v>
          </cell>
        </row>
        <row r="16">
          <cell r="B16" t="str">
            <v>AB 7858443</v>
          </cell>
        </row>
        <row r="20">
          <cell r="B20" t="str">
            <v>BUXORO VILOYATI KOGON TUMAN IIB tomonidan 06.10.2017 yilda berilgan</v>
          </cell>
        </row>
        <row r="65">
          <cell r="B65" t="str">
            <v>mikroqarz</v>
          </cell>
        </row>
        <row r="75">
          <cell r="B75">
            <v>26000000</v>
          </cell>
        </row>
        <row r="76">
          <cell r="B76" t="str">
            <v>yigirma olti million so'm</v>
          </cell>
        </row>
        <row r="81">
          <cell r="B81">
            <v>48</v>
          </cell>
        </row>
        <row r="82">
          <cell r="B82" t="str">
            <v xml:space="preserve">Qirq sakkiz  </v>
          </cell>
        </row>
        <row r="106">
          <cell r="B106" t="str">
            <v>202502386001856</v>
          </cell>
        </row>
        <row r="107">
          <cell r="B107" t="str">
            <v>01.04.2025</v>
          </cell>
        </row>
        <row r="109">
          <cell r="B109" t="str">
            <v>05.04.2025 yildagi</v>
          </cell>
        </row>
        <row r="110">
          <cell r="B110" t="str">
            <v>№ 02/04-001</v>
          </cell>
        </row>
        <row r="111">
          <cell r="B111" t="str">
            <v>Avtotransport</v>
          </cell>
          <cell r="C111" t="str">
            <v>Avtotransport</v>
          </cell>
        </row>
        <row r="119">
          <cell r="B119" t="str">
            <v>FAYZIYEV JAMSHID KURBONOVICH</v>
          </cell>
          <cell r="C119">
            <v>0</v>
          </cell>
        </row>
        <row r="125">
          <cell r="B125" t="str">
            <v>FAYZIYEV JAMSHID KURBONOVICH</v>
          </cell>
        </row>
        <row r="131">
          <cell r="C131" t="str">
            <v>SAMARQAND VILOYATI TAYLOQ TUMANI CHAROG'BON MFY YANGI TAYLOQ QISHLOG'I 6 TURAR JOY 12 QAVAT 58 XONADON</v>
          </cell>
        </row>
        <row r="132">
          <cell r="B132" t="str">
            <v>AAG   4517617  20.08.2024y</v>
          </cell>
          <cell r="C132" t="str">
            <v>13.12.2020 yildan 1718238/R-A1419303</v>
          </cell>
        </row>
        <row r="133">
          <cell r="B133" t="str">
            <v>SPARK</v>
          </cell>
          <cell r="C133" t="str">
            <v>3 - xonali yakka tartibdagi uy-joy</v>
          </cell>
        </row>
        <row r="134">
          <cell r="B134" t="str">
            <v>80Y320AB</v>
          </cell>
          <cell r="C134" t="str">
            <v>3 - xonali yakka tartibdagi uy-joy</v>
          </cell>
        </row>
        <row r="135">
          <cell r="B135" t="str">
            <v>kuzov turi - YENGIL SEDAN, kuzov raqami XWBMF481EBA580791</v>
          </cell>
        </row>
        <row r="138">
          <cell r="B138" t="str">
            <v>dvigatel raqami B10D1606437KC3, shassi raqami - RAKAMSIZ</v>
          </cell>
          <cell r="C138">
            <v>72.13</v>
          </cell>
          <cell r="E138" t="str">
            <v>72,13 kv.m</v>
          </cell>
          <cell r="F138">
            <v>34.739999999999995</v>
          </cell>
        </row>
        <row r="141">
          <cell r="B141" t="str">
            <v>rangi -  OQ BELAYA "KASABLANKA", ishlab chiqarilgan yili - 2011</v>
          </cell>
          <cell r="C141" t="str">
            <v>37,39</v>
          </cell>
          <cell r="E141" t="str">
            <v>37,39 kv.m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tabColor rgb="FF00B050"/>
  </sheetPr>
  <dimension ref="A1:AH49"/>
  <sheetViews>
    <sheetView view="pageBreakPreview" topLeftCell="A16" zoomScaleNormal="100" zoomScaleSheetLayoutView="100" workbookViewId="0">
      <selection activeCell="A23" sqref="A23:E23"/>
    </sheetView>
  </sheetViews>
  <sheetFormatPr defaultRowHeight="15" x14ac:dyDescent="0.25"/>
  <cols>
    <col min="1" max="1" width="22.85546875" style="56" customWidth="1"/>
    <col min="2" max="2" width="24.28515625" style="56" customWidth="1"/>
    <col min="3" max="3" width="18.42578125" style="56" customWidth="1"/>
    <col min="4" max="4" width="18" style="56" customWidth="1"/>
    <col min="5" max="5" width="25.140625" style="56" customWidth="1"/>
    <col min="6" max="6" width="9.140625" customWidth="1"/>
    <col min="7" max="7" width="24.42578125" customWidth="1"/>
    <col min="8" max="8" width="17.140625" customWidth="1"/>
    <col min="9" max="34" width="9.140625" hidden="1" customWidth="1"/>
    <col min="35" max="35" width="8.7109375" customWidth="1"/>
  </cols>
  <sheetData>
    <row r="1" spans="1:33" ht="47.25" customHeight="1" x14ac:dyDescent="0.25">
      <c r="A1" s="269" t="str">
        <f>""&amp;'Общие данные'!B158&amp;"
mikromoliya tashkiloti
Kredit qo‘mitasining yig‘ilishi"</f>
        <v>«PULLOL BUSINESS MIKROMOLIYA TASHKILOTI»  MChJ
mikromoliya tashkiloti
Kredit qo‘mitasining yig‘ilishi</v>
      </c>
      <c r="B1" s="269"/>
      <c r="C1" s="269"/>
      <c r="D1" s="269"/>
      <c r="E1" s="269"/>
    </row>
    <row r="2" spans="1:33" ht="19.5" customHeight="1" x14ac:dyDescent="0.25">
      <c r="A2" s="269" t="str">
        <f>""&amp;H7&amp;" protokolidan ko'chirma"</f>
        <v>№ 323-BR protokolidan ko'chirma</v>
      </c>
      <c r="B2" s="269"/>
      <c r="C2" s="269"/>
      <c r="D2" s="269"/>
      <c r="E2" s="269"/>
    </row>
    <row r="3" spans="1:33" ht="29.25" customHeight="1" x14ac:dyDescent="0.25">
      <c r="A3" s="121" t="s">
        <v>195</v>
      </c>
      <c r="B3" s="47"/>
      <c r="C3" s="47"/>
      <c r="D3" s="47"/>
      <c r="E3" s="122" t="str">
        <f>'Общие данные'!B68</f>
        <v>7 aprel 2026 y.</v>
      </c>
    </row>
    <row r="4" spans="1:33" ht="21" customHeight="1" x14ac:dyDescent="0.25">
      <c r="A4" s="47"/>
      <c r="B4" s="269" t="s">
        <v>194</v>
      </c>
      <c r="C4" s="269"/>
      <c r="D4" s="269"/>
      <c r="E4" s="47"/>
    </row>
    <row r="5" spans="1:33" ht="35.25" customHeight="1" x14ac:dyDescent="0.25">
      <c r="A5" s="268" t="str">
        <f>"         "&amp;H8&amp;"."&amp;'Общие данные'!B5&amp;" ga "&amp;'Общие данные'!B65&amp;" berish masalasini ko‘rib chiqish to‘g‘risida."</f>
        <v xml:space="preserve">         1.ALLAMURODOV MUHAMMAD YOQUB O‘G‘LI ga mikroqarz berish masalasini ko‘rib chiqish to‘g‘risida.</v>
      </c>
      <c r="B5" s="268"/>
      <c r="C5" s="268"/>
      <c r="D5" s="268"/>
      <c r="E5" s="268"/>
    </row>
    <row r="6" spans="1:33" ht="9" customHeight="1" x14ac:dyDescent="0.25"/>
    <row r="7" spans="1:33" ht="21" customHeight="1" x14ac:dyDescent="0.35">
      <c r="A7" s="270" t="str">
        <f>"      "&amp;H9&amp;" masala yuzasidan:  "&amp;'Общие данные'!B158&amp;" mikromoliya tashkiloti kredit bo‘yicha menejeri  "&amp;'Общие данные'!B5&amp;"ga "&amp;FIXED('Общие данные'!B76)&amp;" ("&amp;'Общие данные'!B77&amp;") so‘m miqdorida, muddati "&amp;'Общие данные'!B82&amp;" ("&amp;'Общие данные'!B83&amp;") oyga va yillik "&amp;'Общие данные'!B86&amp;" %("&amp;'Общие данные'!B87&amp;") foiz miqdorida "&amp;'Общие данные'!B65&amp;" berich bo‘yicha "&amp;'Общие данные'!B5&amp;"ning kredit arizasi va "&amp;'Общие данные'!B158&amp;"ning xulosasi bilan ishtirokchilarni tanishtirdi."</f>
        <v xml:space="preserve">      Birinchi masala yuzasidan:  «PULLOL BUSINESS MIKROMOLIYA TASHKILOTI»  MChJ mikromoliya tashkiloti kredit bo‘yicha menejeri  ALLAMURODOV MUHAMMAD YOQUB O‘G‘LIga 52 000 000,00 (ellik ikki million so'm) so‘m miqdorida, muddati 36 (O'ttiz olti  ) oyga va yillik 55 %(Ellik besh  ) foiz miqdorida mikroqarz berich bo‘yicha ALLAMURODOV MUHAMMAD YOQUB O‘G‘LIning kredit arizasi va «PULLOL BUSINESS MIKROMOLIYA TASHKILOTI»  MChJning xulosasi bilan ishtirokchilarni tanishtirdi.</v>
      </c>
      <c r="B7" s="270"/>
      <c r="C7" s="270"/>
      <c r="D7" s="270"/>
      <c r="E7" s="270"/>
      <c r="G7" s="57" t="s">
        <v>249</v>
      </c>
      <c r="H7" s="58" t="str">
        <f>'Общие данные'!B1</f>
        <v>№ 323-BR</v>
      </c>
    </row>
    <row r="8" spans="1:33" ht="48.75" customHeight="1" x14ac:dyDescent="0.35">
      <c r="A8" s="270"/>
      <c r="B8" s="270"/>
      <c r="C8" s="270"/>
      <c r="D8" s="270"/>
      <c r="E8" s="270"/>
      <c r="G8" s="57" t="s">
        <v>250</v>
      </c>
      <c r="H8" s="58">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 hidden="1" customHeight="1" x14ac:dyDescent="0.35">
      <c r="A9" s="270"/>
      <c r="B9" s="270"/>
      <c r="C9" s="270"/>
      <c r="D9" s="270"/>
      <c r="E9" s="270"/>
      <c r="G9" s="57" t="s">
        <v>251</v>
      </c>
      <c r="H9" s="58" t="str">
        <f>IF(H8=I8,I9,IF(H8=J8,J9,IF(H8=K8,K9,IF(H8=L8,L9,IF(H8=M8,M9,IF(H8=N8,N9,IF(H8=O8,O9,IF(H8=P8,P9,IF(H8=Q8,Q9,IF(H8=R8,R9,IF(H8=S8,S9,IF(H8=T8,T9,IF(H8=U8,U9,IF(H8=V8,V9,IF(H8=W8,W9,IF(H8=X8,X9,IF(H8=Y8,Y9,IF(H8=Z8,Z9,IF(H8=AA8,AA9,IF(H8=AB8,AB9,IF(H8=AC8,AC9,IF(H8=AD8,AD9,IF(H8=AE8,AE9,IF(H8=AF8,AF9,IF(H8=AG8,AG9)))))))))))))))))))))))))</f>
        <v>Birinchi</v>
      </c>
      <c r="I9" s="140" t="s">
        <v>182</v>
      </c>
      <c r="J9" s="141" t="s">
        <v>183</v>
      </c>
      <c r="K9" s="141" t="s">
        <v>184</v>
      </c>
      <c r="L9" s="141" t="s">
        <v>354</v>
      </c>
      <c r="M9" s="141" t="s">
        <v>185</v>
      </c>
      <c r="N9" s="141" t="s">
        <v>355</v>
      </c>
      <c r="O9" s="141" t="s">
        <v>186</v>
      </c>
      <c r="P9" s="141" t="s">
        <v>187</v>
      </c>
      <c r="Q9" s="141" t="s">
        <v>188</v>
      </c>
      <c r="R9" s="141" t="s">
        <v>344</v>
      </c>
      <c r="S9" s="141" t="s">
        <v>345</v>
      </c>
      <c r="T9" s="141" t="s">
        <v>346</v>
      </c>
      <c r="U9" s="141" t="s">
        <v>347</v>
      </c>
      <c r="V9" s="141" t="s">
        <v>356</v>
      </c>
      <c r="W9" s="141" t="s">
        <v>348</v>
      </c>
      <c r="X9" s="141" t="s">
        <v>349</v>
      </c>
      <c r="Y9" s="141" t="s">
        <v>350</v>
      </c>
      <c r="Z9" s="141" t="s">
        <v>351</v>
      </c>
      <c r="AA9" s="141" t="s">
        <v>352</v>
      </c>
      <c r="AB9" s="141" t="s">
        <v>189</v>
      </c>
      <c r="AC9" s="141" t="s">
        <v>190</v>
      </c>
      <c r="AD9" s="141" t="s">
        <v>191</v>
      </c>
      <c r="AE9" s="141" t="s">
        <v>192</v>
      </c>
      <c r="AF9" s="141" t="s">
        <v>353</v>
      </c>
      <c r="AG9" s="141" t="s">
        <v>193</v>
      </c>
    </row>
    <row r="10" spans="1:33" ht="11.25" customHeight="1" x14ac:dyDescent="0.25">
      <c r="A10" s="270"/>
      <c r="B10" s="270"/>
      <c r="C10" s="270"/>
      <c r="D10" s="270"/>
      <c r="E10" s="270"/>
    </row>
    <row r="11" spans="1:33" ht="15.75" customHeight="1" x14ac:dyDescent="0.25">
      <c r="A11" s="271" t="str">
        <f>""&amp;'Общие данные'!C64&amp;" ta’minoti:"</f>
        <v>Mikroqarz ta’minoti:</v>
      </c>
      <c r="B11" s="271"/>
      <c r="C11" s="271"/>
      <c r="D11" s="271"/>
      <c r="E11" s="271"/>
    </row>
    <row r="12" spans="1:33" ht="7.5" customHeight="1" x14ac:dyDescent="0.25"/>
    <row r="13" spans="1:33" ht="64.5" customHeight="1" x14ac:dyDescent="0.25">
      <c r="A13" s="270" t="str">
        <f>'Заключение КК'!A18:E18</f>
        <v>1.   Egalik huquqi RO'ZIYEV ODILJON OLIMJONOVICHga tegishli bo'lgan garovga olingan avtomobil markasi   SPARK, rangi -  OQ BELAYA, ishlab chiqarilgan yili - 2018, davlat raqam belgisi 80F845XA, kuzov turi - YENGIL SEDAN, kuzov raqami XWBMF48NEJA525204, dvigatel raqami B15D212181062B8JX0417, shassi raqami - RAKAMSIZ</v>
      </c>
      <c r="B13" s="270"/>
      <c r="C13" s="270"/>
      <c r="D13" s="270"/>
      <c r="E13" s="270"/>
    </row>
    <row r="14" spans="1:33" ht="31.9" customHeight="1" x14ac:dyDescent="0.25">
      <c r="A14" s="271" t="str">
        <f>"2. «"&amp;'Общие данные'!B154&amp;"» АJ sug‘urta kompaniyasi tomonidan Mikroqarz to'lamaslik xavfini "&amp;FIXED('Общие данные'!B155,2)&amp;"("&amp;'Общие данные'!B156&amp;") so ' m miqdoriga sug’urta qilish"</f>
        <v>2. «АО СК "IMPEX INSURANCE"» АJ sug‘urta kompaniyasi tomonidan Mikroqarz to'lamaslik xavfini 23 800 000,00(yigirma uch million sakkiz yuz ming so'm) so ' m miqdoriga sug’urta qilish</v>
      </c>
      <c r="B14" s="271"/>
      <c r="C14" s="271"/>
      <c r="D14" s="271"/>
      <c r="E14" s="271"/>
    </row>
    <row r="15" spans="1:33" ht="17.25" customHeight="1" x14ac:dyDescent="0.25">
      <c r="C15" s="142" t="s">
        <v>362</v>
      </c>
      <c r="D15" s="142" t="str">
        <f>""&amp;'Общие данные'!B158&amp;" kredit qo‘mitasi"</f>
        <v>«PULLOL BUSINESS MIKROMOLIYA TASHKILOTI»  MChJ kredit qo‘mitasi</v>
      </c>
      <c r="E15" s="142" t="str">
        <f>CONCATENATE(C15,D15)</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6" spans="1:33" ht="54" customHeight="1" x14ac:dyDescent="0.25">
      <c r="A16" s="270" t="str">
        <f>CONCATENATE(H9,E15)</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6" s="270"/>
      <c r="C16" s="270"/>
      <c r="D16" s="270"/>
      <c r="E16" s="270"/>
    </row>
    <row r="17" spans="1:5" ht="24" customHeight="1" x14ac:dyDescent="0.25">
      <c r="A17" s="272" t="s">
        <v>252</v>
      </c>
      <c r="B17" s="272"/>
      <c r="C17" s="272"/>
      <c r="D17" s="272"/>
      <c r="E17" s="272"/>
    </row>
    <row r="18" spans="1:5" ht="32.25" customHeight="1" x14ac:dyDescent="0.25">
      <c r="A18" s="270" t="str">
        <f>"       "&amp;'Общие данные'!B5&amp;"ga quyidagi shartlarda "&amp;'Общие данные'!B65&amp;" berish masalasi ma’qullansin:"</f>
        <v xml:space="preserve">       ALLAMURODOV MUHAMMAD YOQUB O‘G‘LIga quyidagi shartlarda mikroqarz berish masalasi ma’qullansin:</v>
      </c>
      <c r="B18" s="270"/>
      <c r="C18" s="270"/>
      <c r="D18" s="270"/>
      <c r="E18" s="270"/>
    </row>
    <row r="19" spans="1:5" s="123" customFormat="1" ht="18.75" customHeight="1" x14ac:dyDescent="0.25">
      <c r="A19" s="268" t="str">
        <f>"1. "&amp;'Общие данные'!C64&amp;" summasi: "&amp;FIXED('Общие данные'!B76)&amp;" ("&amp;'Общие данные'!B77&amp;") so'm."</f>
        <v>1. Mikroqarz summasi: 52 000 000,00 (ellik ikki million so'm) so'm.</v>
      </c>
      <c r="B19" s="268"/>
      <c r="C19" s="268"/>
      <c r="D19" s="268"/>
      <c r="E19" s="268"/>
    </row>
    <row r="20" spans="1:5" s="123" customFormat="1" ht="18.75" customHeight="1" x14ac:dyDescent="0.25">
      <c r="A20" s="268" t="str">
        <f>"2. "&amp;'Общие данные'!C64&amp;" muddati: "&amp;'Общие данные'!B82&amp;" ("&amp;'Общие данные'!B83&amp;") oy "</f>
        <v xml:space="preserve">2. Mikroqarz muddati: 36 (O'ttiz olti  ) oy </v>
      </c>
      <c r="B20" s="268"/>
      <c r="C20" s="268"/>
      <c r="D20" s="268"/>
      <c r="E20" s="268"/>
    </row>
    <row r="21" spans="1:5" s="123" customFormat="1" ht="18.75" customHeight="1" x14ac:dyDescent="0.25">
      <c r="A21" s="268" t="str">
        <f>"3. "&amp;'Общие данные'!C64&amp;"dan foydalanganlik uchun foiz stavkasi:yillik "&amp;'Общие данные'!B86&amp;"% ("&amp;'Общие данные'!B87&amp;") foiz."</f>
        <v>3. Mikroqarzdan foydalanganlik uchun foiz stavkasi:yillik 55% (Ellik besh  ) foiz.</v>
      </c>
      <c r="B21" s="268"/>
      <c r="C21" s="268"/>
      <c r="D21" s="268"/>
      <c r="E21" s="268"/>
    </row>
    <row r="22" spans="1:5" s="123" customFormat="1" ht="18.75" customHeight="1" x14ac:dyDescent="0.25">
      <c r="A22" s="268" t="str">
        <f>"4. "&amp;'Общие данные'!C64&amp;" bo‘yicha asosiy qarz va foizlarni to‘lash:"</f>
        <v>4. Mikroqarz bo‘yicha asosiy qarz va foizlarni to‘lash:</v>
      </c>
      <c r="B22" s="268"/>
      <c r="C22" s="268"/>
      <c r="D22" s="268"/>
      <c r="E22" s="268"/>
    </row>
    <row r="23" spans="1:5" s="123" customFormat="1" ht="18.75" customHeight="1" x14ac:dyDescent="0.25">
      <c r="A23" s="268" t="str">
        <f>'Кредитная заявка'!A19:D19</f>
        <v xml:space="preserve"> - mikroqarz shartnomasi bo'yicha har oy differensial to'lovlari amalga oshiriladi</v>
      </c>
      <c r="B23" s="268"/>
      <c r="C23" s="268"/>
      <c r="D23" s="268"/>
      <c r="E23" s="268"/>
    </row>
    <row r="24" spans="1:5" s="123" customFormat="1" ht="18.75" customHeight="1" x14ac:dyDescent="0.25">
      <c r="A24" s="268" t="str">
        <f>"5. "&amp;'Общие данные'!C64&amp;" bo‘yicha ta'minot:"</f>
        <v>5. Mikroqarz bo‘yicha ta'minot:</v>
      </c>
      <c r="B24" s="268"/>
      <c r="C24" s="268"/>
      <c r="D24" s="268"/>
      <c r="E24" s="268"/>
    </row>
    <row r="25" spans="1:5" ht="48" customHeight="1" x14ac:dyDescent="0.25">
      <c r="A25" s="270" t="str">
        <f>"1. garov  "&amp;'Заключение КК'!A29:E29&amp;""</f>
        <v>1. garov   - RO'ZIYEV ODILJON OLIMJONOVICH ga mulk huquqi asosida tegishli avtotransport vositasi SPARK , quyidagi tafsilotlarga muvofiq:</v>
      </c>
      <c r="B25" s="270"/>
      <c r="C25" s="270"/>
      <c r="D25" s="270"/>
      <c r="E25" s="270"/>
    </row>
    <row r="26" spans="1:5" ht="40.5" customHeight="1" x14ac:dyDescent="0.25">
      <c r="A26" s="15" t="str">
        <f>'Акт согласования'!A29</f>
        <v>Nomi</v>
      </c>
      <c r="B26" s="15" t="str">
        <f>'Акт согласования'!B29</f>
        <v>Kuzov turi  va kuzov raqami*</v>
      </c>
      <c r="C26" s="15" t="str">
        <f>'Акт согласования'!C29</f>
        <v>Dvigatel va shassi raqami*</v>
      </c>
      <c r="D26" s="15" t="str">
        <f>'Акт согласования'!D29</f>
        <v>Ishlab chiqarilgan yili va rangi*</v>
      </c>
      <c r="E26" s="15" t="str">
        <f>'Акт согласования'!E29</f>
        <v>Kelishilgan garov qiymati, so'm</v>
      </c>
    </row>
    <row r="27" spans="1:5" ht="75.75" customHeight="1" x14ac:dyDescent="0.25">
      <c r="A27" s="15" t="str">
        <f>'Акт согласования'!A30</f>
        <v>SPARK</v>
      </c>
      <c r="B27" s="15" t="str">
        <f>'Акт согласования'!B30</f>
        <v>kuzov turi - YENGIL SEDAN, kuzov raqami XWBMF48NEJA525204</v>
      </c>
      <c r="C27" s="15" t="str">
        <f>'Акт согласования'!C30</f>
        <v>dvigatel raqami B15D212181062B8JX0417, shassi raqami - RAKAMSIZ</v>
      </c>
      <c r="D27" s="15" t="str">
        <f>'Акт согласования'!D30</f>
        <v>rangi -  OQ BELAYA, ishlab chiqarilgan yili - 2018</v>
      </c>
      <c r="E27" s="15" t="str">
        <f>'Акт согласования'!E30</f>
        <v>49 000 000,00 
(qirq to'qqiz million so'm)</v>
      </c>
    </row>
    <row r="28" spans="1:5" ht="20.25" customHeight="1" x14ac:dyDescent="0.25">
      <c r="A28" s="270" t="str">
        <f>'Акт согласования'!A22:E22</f>
        <v>-* avtotransport egasi: RO'ZIYEV ODILJON OLIMJONOVICH</v>
      </c>
      <c r="B28" s="270"/>
      <c r="C28" s="270"/>
      <c r="D28" s="270"/>
      <c r="E28" s="270"/>
    </row>
    <row r="29" spans="1:5" ht="20.25" customHeight="1" x14ac:dyDescent="0.25">
      <c r="A29" s="270" t="str">
        <f>'Акт согласования'!A23:E23</f>
        <v>-* texnik pasport: AAG   2554881   10.10.2023 y</v>
      </c>
      <c r="B29" s="270"/>
      <c r="C29" s="270"/>
      <c r="D29" s="270"/>
      <c r="E29" s="270"/>
    </row>
    <row r="30" spans="1:5" ht="42" customHeight="1" x14ac:dyDescent="0.25">
      <c r="A30" s="270" t="str">
        <f>'Акт согласования'!A24:E24</f>
        <v>-* roʻyxatdan oʻtgan manzili/garaj manzili: BUXORO VILOYATI OLOT TUMANI ASAJAM MFY ASAJAM</v>
      </c>
      <c r="B30" s="270"/>
      <c r="C30" s="270"/>
      <c r="D30" s="270"/>
      <c r="E30" s="270"/>
    </row>
    <row r="31" spans="1:5" ht="22.5" customHeight="1" x14ac:dyDescent="0.25">
      <c r="A31" s="270" t="str">
        <f>'Акт согласования'!A25:E25</f>
        <v>-* davlat raqami: 80F845XA</v>
      </c>
      <c r="B31" s="270"/>
      <c r="C31" s="270"/>
      <c r="D31" s="270"/>
      <c r="E31" s="270"/>
    </row>
    <row r="32" spans="1:5" ht="12" customHeight="1" x14ac:dyDescent="0.25">
      <c r="A32" s="124"/>
      <c r="B32" s="124"/>
      <c r="C32" s="124"/>
      <c r="D32" s="124"/>
      <c r="E32" s="124"/>
    </row>
    <row r="33" spans="1:5" ht="34.9" customHeight="1" x14ac:dyDescent="0.25">
      <c r="A33" s="270" t="str">
        <f>"6. «"&amp;'Общие данные'!B154&amp;"» АJ sug‘urta kompaniyasi tomonidan "&amp;'Общие данные'!C64&amp;" to'lamaslik xavfini "&amp;FIXED('Общие данные'!B155,2)&amp;"("&amp;'Общие данные'!B156&amp;") so ' m miqdoriga sug’urta qilish"</f>
        <v>6. «АО СК "IMPEX INSURANCE"» АJ sug‘urta kompaniyasi tomonidan Mikroqarz to'lamaslik xavfini 23 800 000,00(yigirma uch million sakkiz yuz ming so'm) so ' m miqdoriga sug’urta qilish</v>
      </c>
      <c r="B33" s="270"/>
      <c r="C33" s="270"/>
      <c r="D33" s="270"/>
      <c r="E33" s="270"/>
    </row>
    <row r="34" spans="1:5" ht="22.5" customHeight="1" x14ac:dyDescent="0.25">
      <c r="A34" s="270" t="str">
        <f>"7. Boshqa shartlar – "&amp;IF('Общие данные'!B110='Общие данные'!B111,"avtotransport vositasi",IF('Общие данные'!B110='Общие данные'!C111,"ko'chmas mulk",0))&amp;" shaklida garov ta'minlangandan keyin "&amp;'Общие данные'!B65&amp;" berish."</f>
        <v>7. Boshqa shartlar – 0 shaklida garov ta'minlangandan keyin mikroqarz berish.</v>
      </c>
      <c r="B34" s="270"/>
      <c r="C34" s="270"/>
      <c r="D34" s="270"/>
      <c r="E34" s="270"/>
    </row>
    <row r="36" spans="1:5" ht="24" customHeight="1" x14ac:dyDescent="0.25">
      <c r="A36" s="273" t="s">
        <v>253</v>
      </c>
      <c r="B36" s="273"/>
      <c r="C36" s="273"/>
      <c r="D36" s="273"/>
      <c r="E36" s="273"/>
    </row>
    <row r="37" spans="1:5" hidden="1" x14ac:dyDescent="0.25">
      <c r="A37" s="18"/>
      <c r="B37" s="267"/>
      <c r="C37" s="267"/>
      <c r="D37" s="174"/>
      <c r="E37" s="18"/>
    </row>
    <row r="38" spans="1:5" ht="3.75" customHeight="1" x14ac:dyDescent="0.25">
      <c r="A38" s="18"/>
      <c r="B38" s="267"/>
      <c r="C38" s="267"/>
      <c r="D38" s="174"/>
      <c r="E38" s="18"/>
    </row>
    <row r="39" spans="1:5" ht="27" customHeight="1" x14ac:dyDescent="0.25">
      <c r="A39" s="18"/>
      <c r="B39" s="267"/>
      <c r="C39" s="267"/>
      <c r="D39" s="174"/>
      <c r="E39" s="18"/>
    </row>
    <row r="40" spans="1:5" ht="14.25" customHeight="1" x14ac:dyDescent="0.25"/>
    <row r="41" spans="1:5" ht="65.25" customHeight="1" x14ac:dyDescent="0.25">
      <c r="A41" s="121" t="str">
        <f>'Общие данные'!B158&amp;" direktori v.v.b."</f>
        <v>«PULLOL BUSINESS MIKROMOLIYA TASHKILOTI»  MChJ direktori v.v.b.</v>
      </c>
      <c r="B41" s="191"/>
      <c r="C41" s="191"/>
      <c r="D41" s="190" t="str">
        <f>'Общие данные'!B161</f>
        <v>Mominov B. X.</v>
      </c>
    </row>
    <row r="42" spans="1:5" x14ac:dyDescent="0.25">
      <c r="A42" s="191"/>
      <c r="B42" s="191"/>
      <c r="C42" s="191"/>
      <c r="D42" s="191"/>
    </row>
    <row r="43" spans="1:5" x14ac:dyDescent="0.25">
      <c r="A43" s="191"/>
      <c r="B43" s="191"/>
      <c r="C43" s="191"/>
      <c r="D43" s="191"/>
    </row>
    <row r="44" spans="1:5" x14ac:dyDescent="0.25">
      <c r="A44" s="191"/>
      <c r="B44" s="191"/>
      <c r="C44" s="191"/>
      <c r="D44" s="191"/>
    </row>
    <row r="45" spans="1:5" ht="29.25" x14ac:dyDescent="0.25">
      <c r="A45" s="191" t="str">
        <f>'Общие данные'!A170</f>
        <v xml:space="preserve">Kreditlash bo’limi boshlig’i </v>
      </c>
      <c r="B45" s="191"/>
      <c r="C45" s="191"/>
      <c r="D45" s="191" t="str">
        <f>'Общие данные'!B170</f>
        <v>Akramov R.N.</v>
      </c>
    </row>
    <row r="46" spans="1:5" x14ac:dyDescent="0.25">
      <c r="A46" s="191"/>
      <c r="B46" s="191"/>
      <c r="C46" s="191"/>
      <c r="D46" s="191"/>
    </row>
    <row r="47" spans="1:5" x14ac:dyDescent="0.25">
      <c r="A47" s="191"/>
      <c r="B47" s="191"/>
      <c r="C47" s="191"/>
      <c r="D47" s="191"/>
    </row>
    <row r="48" spans="1:5" ht="15" hidden="1" customHeight="1" x14ac:dyDescent="0.25">
      <c r="A48" s="191" t="str">
        <f>'Общие данные'!A171</f>
        <v>Buxoro filiali boshlig’i</v>
      </c>
      <c r="B48" s="191"/>
      <c r="C48" s="191"/>
      <c r="D48" s="191" t="str">
        <f>'Общие данные'!B171</f>
        <v>Ikromov B.A.</v>
      </c>
    </row>
    <row r="49" spans="1:4" ht="29.25" x14ac:dyDescent="0.25">
      <c r="A49" s="191" t="str">
        <f>'Общие данные'!A172</f>
        <v>Kredit bo'limi menejeri</v>
      </c>
      <c r="B49" s="191"/>
      <c r="C49" s="191"/>
      <c r="D49" s="191" t="str">
        <f>'Общие данные'!B172</f>
        <v>Eshbekov S. O.</v>
      </c>
    </row>
  </sheetData>
  <mergeCells count="28">
    <mergeCell ref="A22:E22"/>
    <mergeCell ref="A23:E23"/>
    <mergeCell ref="A14:E14"/>
    <mergeCell ref="A24:E24"/>
    <mergeCell ref="A36:E36"/>
    <mergeCell ref="A31:E31"/>
    <mergeCell ref="A25:E25"/>
    <mergeCell ref="A28:E28"/>
    <mergeCell ref="A29:E29"/>
    <mergeCell ref="A30:E30"/>
    <mergeCell ref="A34:E34"/>
    <mergeCell ref="A33:E33"/>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s>
  <pageMargins left="0.70866141732283472" right="0.11811023622047245" top="0.74803149606299213" bottom="0.74803149606299213" header="0.31496062992125984" footer="0.31496062992125984"/>
  <pageSetup paperSize="9" scale="80"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tabColor rgb="FF00B050"/>
  </sheetPr>
  <dimension ref="A1:BK178"/>
  <sheetViews>
    <sheetView tabSelected="1" zoomScaleNormal="100" workbookViewId="0">
      <selection activeCell="B15" sqref="B15"/>
    </sheetView>
  </sheetViews>
  <sheetFormatPr defaultColWidth="0" defaultRowHeight="15" zeroHeight="1" x14ac:dyDescent="0.2"/>
  <cols>
    <col min="1" max="1" width="44.42578125" style="163" customWidth="1"/>
    <col min="2" max="2" width="61.85546875" style="165" customWidth="1"/>
    <col min="3" max="3" width="20" style="162" customWidth="1"/>
    <col min="4" max="4" width="29.7109375" style="162" customWidth="1"/>
    <col min="5" max="7" width="9.140625" style="162" hidden="1" customWidth="1"/>
    <col min="8" max="8" width="62.5703125" style="162" hidden="1" customWidth="1"/>
    <col min="9" max="13" width="9.140625" style="162" hidden="1" customWidth="1"/>
    <col min="14" max="14" width="70.7109375" style="162" hidden="1" customWidth="1"/>
    <col min="15" max="16" width="9.140625" style="162" hidden="1" customWidth="1"/>
    <col min="17" max="17" width="59.7109375" style="162" hidden="1" customWidth="1"/>
    <col min="18" max="18" width="49.85546875" style="162" hidden="1" customWidth="1"/>
    <col min="19" max="16384" width="9.140625" style="162" hidden="1"/>
  </cols>
  <sheetData>
    <row r="1" spans="1:4" x14ac:dyDescent="0.2">
      <c r="A1" s="3" t="str">
        <f>CONCATENATE(B65," olish uchun ariza")</f>
        <v>mikroqarz olish uchun ariza</v>
      </c>
      <c r="B1" s="234" t="s">
        <v>488</v>
      </c>
    </row>
    <row r="2" spans="1:4" ht="30" x14ac:dyDescent="0.2">
      <c r="A2" s="3" t="str">
        <f>CONCATENATE(B65," olish uchun ariza sanasi QO’L BILAN KIRITILADI")</f>
        <v>mikroqarz olish uchun ariza sanasi QO’L BILAN KIRITILADI</v>
      </c>
      <c r="B2" s="235" t="s">
        <v>457</v>
      </c>
      <c r="D2" s="162">
        <f>180+B2</f>
        <v>46299</v>
      </c>
    </row>
    <row r="3" spans="1:4" hidden="1" x14ac:dyDescent="0.2">
      <c r="A3" s="3"/>
      <c r="B3" s="1"/>
    </row>
    <row r="4" spans="1:4" x14ac:dyDescent="0.2">
      <c r="A4" s="277" t="s">
        <v>47</v>
      </c>
      <c r="B4" s="277"/>
    </row>
    <row r="5" spans="1:4" ht="30" x14ac:dyDescent="0.2">
      <c r="A5" s="3" t="s">
        <v>48</v>
      </c>
      <c r="B5" s="234" t="s">
        <v>489</v>
      </c>
    </row>
    <row r="6" spans="1:4" ht="28.5" customHeight="1" x14ac:dyDescent="0.2">
      <c r="A6" s="3" t="s">
        <v>49</v>
      </c>
      <c r="B6" s="182" t="s">
        <v>61</v>
      </c>
      <c r="C6" s="162" t="s">
        <v>248</v>
      </c>
      <c r="D6" s="162" t="s">
        <v>128</v>
      </c>
    </row>
    <row r="7" spans="1:4" ht="30" x14ac:dyDescent="0.2">
      <c r="A7" s="3" t="s">
        <v>50</v>
      </c>
      <c r="B7" s="234" t="s">
        <v>490</v>
      </c>
    </row>
    <row r="8" spans="1:4" ht="30" hidden="1" x14ac:dyDescent="0.2">
      <c r="A8" s="3" t="s">
        <v>51</v>
      </c>
      <c r="B8" s="183" t="str">
        <f>B5</f>
        <v>ALLAMURODOV MUHAMMAD YOQUB O‘G‘LI</v>
      </c>
    </row>
    <row r="9" spans="1:4" hidden="1" x14ac:dyDescent="0.2">
      <c r="A9" s="3" t="s">
        <v>52</v>
      </c>
      <c r="B9" s="183" t="str">
        <f>B7</f>
        <v>ALLAMURODOV M.Y.</v>
      </c>
    </row>
    <row r="10" spans="1:4" ht="30" hidden="1" x14ac:dyDescent="0.2">
      <c r="A10" s="3" t="s">
        <v>53</v>
      </c>
      <c r="B10" s="183" t="str">
        <f>B8</f>
        <v>ALLAMURODOV MUHAMMAD YOQUB O‘G‘LI</v>
      </c>
    </row>
    <row r="11" spans="1:4" hidden="1" x14ac:dyDescent="0.2">
      <c r="A11" s="3" t="s">
        <v>54</v>
      </c>
      <c r="B11" s="183" t="str">
        <f>B9</f>
        <v>ALLAMURODOV M.Y.</v>
      </c>
    </row>
    <row r="12" spans="1:4" ht="30" hidden="1" x14ac:dyDescent="0.2">
      <c r="A12" s="3" t="s">
        <v>55</v>
      </c>
      <c r="B12" s="183" t="str">
        <f>B10</f>
        <v>ALLAMURODOV MUHAMMAD YOQUB O‘G‘LI</v>
      </c>
    </row>
    <row r="13" spans="1:4" hidden="1" x14ac:dyDescent="0.2">
      <c r="A13" s="3" t="s">
        <v>56</v>
      </c>
      <c r="B13" s="183" t="str">
        <f>B11</f>
        <v>ALLAMURODOV M.Y.</v>
      </c>
    </row>
    <row r="14" spans="1:4" hidden="1" x14ac:dyDescent="0.2">
      <c r="A14" s="3" t="s">
        <v>57</v>
      </c>
      <c r="B14" s="183" t="s">
        <v>60</v>
      </c>
    </row>
    <row r="15" spans="1:4" x14ac:dyDescent="0.2">
      <c r="A15" s="3" t="s">
        <v>58</v>
      </c>
      <c r="B15" s="259" t="s">
        <v>458</v>
      </c>
    </row>
    <row r="16" spans="1:4" x14ac:dyDescent="0.2">
      <c r="A16" s="3" t="s">
        <v>59</v>
      </c>
      <c r="B16" s="234" t="s">
        <v>459</v>
      </c>
    </row>
    <row r="17" spans="1:7" x14ac:dyDescent="0.2">
      <c r="A17" s="3"/>
      <c r="B17" s="234" t="s">
        <v>460</v>
      </c>
      <c r="D17" s="162" t="str">
        <f>TEXT(C17,"ДД.ММ.ГГГГ")</f>
        <v>00.01.1900</v>
      </c>
    </row>
    <row r="18" spans="1:7" x14ac:dyDescent="0.2">
      <c r="A18" s="3"/>
      <c r="B18" s="259">
        <v>45596</v>
      </c>
      <c r="C18" s="202" t="str">
        <f>TEXT(B18,"ДД.ММ.ГГГГ")</f>
        <v>31.10.2024</v>
      </c>
    </row>
    <row r="19" spans="1:7" x14ac:dyDescent="0.2">
      <c r="A19" s="3"/>
      <c r="B19" s="184">
        <v>49247</v>
      </c>
      <c r="C19" s="202" t="str">
        <f>TEXT(B19,"ДД.ММ.ГГГГ")</f>
        <v>30.10.2034</v>
      </c>
    </row>
    <row r="20" spans="1:7" ht="60" x14ac:dyDescent="0.2">
      <c r="A20" s="3" t="s">
        <v>62</v>
      </c>
      <c r="B20" s="55" t="str">
        <f>""&amp;B17&amp;" tomonidan "&amp;C18&amp;" yilda berilgan"</f>
        <v>IIV 61013  tomonidan 31.10.2024 yilda berilgan</v>
      </c>
      <c r="C20" s="203" t="str">
        <f>""&amp;B17&amp;" tomonidan "&amp;C18&amp;" yilda berilgan"</f>
        <v>IIV 61013  tomonidan 31.10.2024 yilda berilgan</v>
      </c>
    </row>
    <row r="21" spans="1:7" ht="45" x14ac:dyDescent="0.2">
      <c r="A21" s="3" t="s">
        <v>63</v>
      </c>
      <c r="B21" s="55" t="str">
        <f>""&amp;C19&amp;" y."</f>
        <v>30.10.2034 y.</v>
      </c>
      <c r="C21" s="202" t="str">
        <f>""&amp;C19&amp;" yilgacha"</f>
        <v>30.10.2034 yilgacha</v>
      </c>
    </row>
    <row r="22" spans="1:7" ht="64.5" customHeight="1" x14ac:dyDescent="0.2">
      <c r="A22" s="3" t="s">
        <v>64</v>
      </c>
      <c r="B22" s="234" t="s">
        <v>461</v>
      </c>
      <c r="C22" s="202" t="str">
        <f>TEXT(B19,"ДД.ММ.ГГГГ")</f>
        <v>30.10.2034</v>
      </c>
    </row>
    <row r="23" spans="1:7" ht="30" x14ac:dyDescent="0.2">
      <c r="A23" s="3" t="s">
        <v>65</v>
      </c>
      <c r="B23" s="234" t="s">
        <v>89</v>
      </c>
      <c r="C23" s="162" t="s">
        <v>89</v>
      </c>
      <c r="D23" s="162" t="s">
        <v>90</v>
      </c>
    </row>
    <row r="24" spans="1:7" ht="30" hidden="1" x14ac:dyDescent="0.2">
      <c r="A24" s="3" t="s">
        <v>66</v>
      </c>
      <c r="B24" s="233" t="s">
        <v>87</v>
      </c>
      <c r="C24" s="162" t="s">
        <v>87</v>
      </c>
      <c r="D24" s="162" t="s">
        <v>88</v>
      </c>
      <c r="E24" s="162" t="s">
        <v>0</v>
      </c>
      <c r="F24" s="162" t="s">
        <v>1</v>
      </c>
      <c r="G24" s="162" t="s">
        <v>3</v>
      </c>
    </row>
    <row r="25" spans="1:7" ht="30" x14ac:dyDescent="0.2">
      <c r="A25" s="3" t="s">
        <v>67</v>
      </c>
      <c r="B25" s="234" t="s">
        <v>491</v>
      </c>
    </row>
    <row r="26" spans="1:7" ht="44.25" customHeight="1" x14ac:dyDescent="0.2">
      <c r="A26" s="3" t="s">
        <v>68</v>
      </c>
      <c r="B26" s="234" t="s">
        <v>462</v>
      </c>
      <c r="C26" s="162" t="s">
        <v>22</v>
      </c>
    </row>
    <row r="27" spans="1:7" ht="44.25" hidden="1" customHeight="1" x14ac:dyDescent="0.2">
      <c r="A27" s="3"/>
      <c r="B27" s="155" t="str">
        <f>IF(B23="mos keladi",B22,B28)</f>
        <v>BUXORO VILOYATI KOGON TUMANI SORG'UN MFY PARAKATI QQ 22-UY</v>
      </c>
    </row>
    <row r="28" spans="1:7" ht="45" x14ac:dyDescent="0.2">
      <c r="A28" s="3" t="s">
        <v>69</v>
      </c>
      <c r="B28" s="234" t="s">
        <v>461</v>
      </c>
    </row>
    <row r="29" spans="1:7" x14ac:dyDescent="0.2">
      <c r="A29" s="3" t="s">
        <v>70</v>
      </c>
      <c r="B29" s="182" t="s">
        <v>87</v>
      </c>
      <c r="C29" s="162" t="s">
        <v>87</v>
      </c>
      <c r="D29" s="162" t="s">
        <v>88</v>
      </c>
      <c r="E29" s="162" t="s">
        <v>317</v>
      </c>
      <c r="F29" s="162" t="s">
        <v>318</v>
      </c>
      <c r="G29" s="162" t="s">
        <v>3</v>
      </c>
    </row>
    <row r="30" spans="1:7" ht="27" x14ac:dyDescent="0.2">
      <c r="A30" s="3" t="s">
        <v>71</v>
      </c>
      <c r="B30" s="185" t="s">
        <v>143</v>
      </c>
      <c r="C30" s="162" t="s">
        <v>143</v>
      </c>
      <c r="D30" s="162" t="s">
        <v>321</v>
      </c>
    </row>
    <row r="31" spans="1:7" x14ac:dyDescent="0.2">
      <c r="A31" s="3" t="s">
        <v>72</v>
      </c>
      <c r="B31" s="234" t="s">
        <v>463</v>
      </c>
    </row>
    <row r="32" spans="1:7" x14ac:dyDescent="0.2">
      <c r="A32" s="3" t="s">
        <v>57</v>
      </c>
      <c r="B32" s="186" t="s">
        <v>60</v>
      </c>
    </row>
    <row r="33" spans="1:4" ht="30" x14ac:dyDescent="0.2">
      <c r="A33" s="3" t="s">
        <v>67</v>
      </c>
      <c r="B33" s="234" t="str">
        <f>B25</f>
        <v>93 137 50 56 KLIENT</v>
      </c>
    </row>
    <row r="34" spans="1:4" hidden="1" x14ac:dyDescent="0.2">
      <c r="A34" s="3"/>
      <c r="B34" s="182" t="str">
        <f>IF(B23="mos keladi",B26,B35)</f>
        <v>7-MAKTAB</v>
      </c>
    </row>
    <row r="35" spans="1:4" x14ac:dyDescent="0.2">
      <c r="A35" s="3" t="s">
        <v>68</v>
      </c>
      <c r="B35" s="182"/>
    </row>
    <row r="36" spans="1:4" x14ac:dyDescent="0.2">
      <c r="A36" s="3" t="s">
        <v>73</v>
      </c>
      <c r="B36" s="182"/>
    </row>
    <row r="37" spans="1:4" x14ac:dyDescent="0.2">
      <c r="A37" s="3" t="s">
        <v>74</v>
      </c>
      <c r="B37" s="182"/>
    </row>
    <row r="38" spans="1:4" x14ac:dyDescent="0.2">
      <c r="A38" s="3" t="s">
        <v>75</v>
      </c>
      <c r="B38" s="182"/>
    </row>
    <row r="39" spans="1:4" x14ac:dyDescent="0.2">
      <c r="A39" s="3" t="s">
        <v>76</v>
      </c>
      <c r="B39" s="182"/>
    </row>
    <row r="40" spans="1:4" ht="24.75" customHeight="1" x14ac:dyDescent="0.2">
      <c r="A40" s="3" t="s">
        <v>77</v>
      </c>
      <c r="B40" s="234" t="str">
        <f>B25</f>
        <v>93 137 50 56 KLIENT</v>
      </c>
    </row>
    <row r="41" spans="1:4" ht="24.75" customHeight="1" x14ac:dyDescent="0.2">
      <c r="A41" s="3" t="s">
        <v>78</v>
      </c>
      <c r="B41" s="234" t="s">
        <v>464</v>
      </c>
    </row>
    <row r="42" spans="1:4" ht="24.75" customHeight="1" x14ac:dyDescent="0.2">
      <c r="A42" s="3" t="s">
        <v>77</v>
      </c>
      <c r="B42" s="234" t="s">
        <v>465</v>
      </c>
    </row>
    <row r="43" spans="1:4" ht="30" x14ac:dyDescent="0.2">
      <c r="A43" s="3" t="s">
        <v>78</v>
      </c>
      <c r="B43" s="46"/>
    </row>
    <row r="44" spans="1:4" ht="23.25" x14ac:dyDescent="0.2">
      <c r="A44" s="157" t="s">
        <v>79</v>
      </c>
      <c r="B44" s="156" t="s">
        <v>337</v>
      </c>
      <c r="C44" s="162" t="s">
        <v>332</v>
      </c>
      <c r="D44" s="162" t="s">
        <v>337</v>
      </c>
    </row>
    <row r="45" spans="1:4" ht="28.5" hidden="1" x14ac:dyDescent="0.2">
      <c r="A45" s="3"/>
      <c r="B45" s="155" t="str">
        <f>IF(B44=D44,CONCATENATE("MA'LUMOTNOMA ",B47,B46),C44)</f>
        <v>MA'LUMOTNOMA MA'LUMOTNOMA № № 0013114001№ 0013114001</v>
      </c>
    </row>
    <row r="46" spans="1:4" ht="93" x14ac:dyDescent="0.2">
      <c r="A46" s="157" t="s">
        <v>338</v>
      </c>
      <c r="B46" s="166" t="s">
        <v>487</v>
      </c>
    </row>
    <row r="47" spans="1:4" ht="23.25" hidden="1" x14ac:dyDescent="0.2">
      <c r="A47" s="157"/>
      <c r="B47" s="155" t="str">
        <f>CONCATENATE(C47," ",B46)</f>
        <v>MA'LUMOTNOMA № № 0013114001</v>
      </c>
      <c r="C47" s="262" t="s">
        <v>446</v>
      </c>
    </row>
    <row r="48" spans="1:4" ht="93" x14ac:dyDescent="0.2">
      <c r="A48" s="157" t="s">
        <v>339</v>
      </c>
      <c r="B48" s="155" t="s">
        <v>492</v>
      </c>
    </row>
    <row r="49" spans="1:4" hidden="1" x14ac:dyDescent="0.2">
      <c r="A49" s="3" t="s">
        <v>80</v>
      </c>
      <c r="B49" s="46" t="str">
        <f>IF(B44=C44,C44,B48)</f>
        <v>Йўловчиларни енгил автотранспорт воситаларида ташиш</v>
      </c>
    </row>
    <row r="50" spans="1:4" ht="45" x14ac:dyDescent="0.2">
      <c r="A50" s="138" t="s">
        <v>81</v>
      </c>
      <c r="B50" s="234" t="s">
        <v>493</v>
      </c>
    </row>
    <row r="51" spans="1:4" x14ac:dyDescent="0.2">
      <c r="A51" s="3" t="s">
        <v>68</v>
      </c>
      <c r="B51" s="46"/>
    </row>
    <row r="52" spans="1:4" x14ac:dyDescent="0.2">
      <c r="A52" s="3" t="s">
        <v>82</v>
      </c>
      <c r="B52" s="46"/>
    </row>
    <row r="53" spans="1:4" x14ac:dyDescent="0.2">
      <c r="A53" s="3" t="s">
        <v>83</v>
      </c>
      <c r="B53" s="46"/>
    </row>
    <row r="54" spans="1:4" x14ac:dyDescent="0.2">
      <c r="A54" s="3" t="s">
        <v>84</v>
      </c>
      <c r="B54" s="46"/>
    </row>
    <row r="55" spans="1:4" x14ac:dyDescent="0.2">
      <c r="A55" s="3" t="s">
        <v>85</v>
      </c>
      <c r="B55" s="2"/>
    </row>
    <row r="56" spans="1:4" x14ac:dyDescent="0.2">
      <c r="A56" s="3" t="s">
        <v>86</v>
      </c>
      <c r="B56" s="2" t="s">
        <v>20</v>
      </c>
    </row>
    <row r="57" spans="1:4" ht="30" customHeight="1" x14ac:dyDescent="0.2">
      <c r="A57" s="278" t="s">
        <v>91</v>
      </c>
      <c r="B57" s="279"/>
    </row>
    <row r="58" spans="1:4" ht="20.25" hidden="1" customHeight="1" x14ac:dyDescent="0.2">
      <c r="A58" s="3" t="s">
        <v>92</v>
      </c>
      <c r="B58" s="46" t="str">
        <f>IF(B44=C44,C44,CONCATENATE(B44," ",B47))</f>
        <v>O'Z O'ZINI BAND QILGAN FUQARO MA'LUMOTNOMA № № 0013114001</v>
      </c>
    </row>
    <row r="59" spans="1:4" ht="31.5" hidden="1" customHeight="1" x14ac:dyDescent="0.2">
      <c r="A59" s="3" t="s">
        <v>80</v>
      </c>
      <c r="B59" s="46" t="str">
        <f>B49</f>
        <v>Йўловчиларни енгил автотранспорт воситаларида ташиш</v>
      </c>
    </row>
    <row r="60" spans="1:4" ht="23.25" x14ac:dyDescent="0.2">
      <c r="A60" s="157" t="s">
        <v>93</v>
      </c>
      <c r="B60" s="160">
        <v>8000000</v>
      </c>
      <c r="C60" s="204">
        <f>C63/B76</f>
        <v>0.46339799538461535</v>
      </c>
    </row>
    <row r="61" spans="1:4" x14ac:dyDescent="0.2">
      <c r="A61" s="3" t="s">
        <v>94</v>
      </c>
      <c r="B61" s="5">
        <v>5000000</v>
      </c>
      <c r="C61" s="205" t="s">
        <v>365</v>
      </c>
    </row>
    <row r="62" spans="1:4" hidden="1" x14ac:dyDescent="0.2">
      <c r="A62" s="3" t="s">
        <v>95</v>
      </c>
      <c r="B62" s="46">
        <f>B53</f>
        <v>0</v>
      </c>
      <c r="C62" s="206"/>
    </row>
    <row r="63" spans="1:4" ht="30" x14ac:dyDescent="0.2">
      <c r="A63" s="3" t="s">
        <v>96</v>
      </c>
      <c r="B63" s="46"/>
      <c r="C63" s="241">
        <f>SUM(График!E9:E20)</f>
        <v>24096695.759999998</v>
      </c>
      <c r="D63" s="239"/>
    </row>
    <row r="64" spans="1:4" x14ac:dyDescent="0.2">
      <c r="A64" s="277" t="s">
        <v>97</v>
      </c>
      <c r="B64" s="277"/>
      <c r="C64" s="239" t="str">
        <f>PROPER(B65)</f>
        <v>Mikroqarz</v>
      </c>
      <c r="D64" s="239" t="str">
        <f>UPPER(B65)</f>
        <v>MIKROQARZ</v>
      </c>
    </row>
    <row r="65" spans="1:14" x14ac:dyDescent="0.2">
      <c r="A65" s="3" t="s">
        <v>98</v>
      </c>
      <c r="B65" s="1" t="str">
        <f>IF(B76&gt;100000001,"mikrokredit",IF(B76&lt;100000001,"mikroqarz",0))</f>
        <v>mikroqarz</v>
      </c>
      <c r="C65" s="242">
        <f>DATE(YEAR(B67),MONTH(B67)+B82,DAY(B67))</f>
        <v>47215</v>
      </c>
      <c r="D65" s="239"/>
    </row>
    <row r="66" spans="1:14" hidden="1" x14ac:dyDescent="0.2">
      <c r="A66" s="3" t="s">
        <v>99</v>
      </c>
      <c r="B66" s="46" t="str">
        <f>B1</f>
        <v>№ 323-BR</v>
      </c>
      <c r="C66" s="239">
        <f>MONTH(C65)</f>
        <v>4</v>
      </c>
      <c r="D66" s="239" t="str">
        <f>IF(C66=C68,C70,IF(C66=D68,D70,IF(C66=E68,E70,IF(C66=F68,F70,IF(C66=G68,G70,IF(C66=H68,H70,IF(C66=I68,I70,IF(C66=J68,J70,IF(C66=K68,K70,IF(C66=L68,L70,IF(C66=M68,M70,IF(C66=N68,N70,))))))))))))</f>
        <v>aprel</v>
      </c>
      <c r="E66" s="162">
        <f>DAY(C65)</f>
        <v>7</v>
      </c>
      <c r="F66" s="162">
        <f>YEAR(C65)</f>
        <v>2029</v>
      </c>
      <c r="G66" s="162">
        <f>MONTH(C65)</f>
        <v>4</v>
      </c>
      <c r="H66" s="162" t="str">
        <f>IF(C66=C68,C71,IF(C66=D68,D71,IF(C66=E68,E71,IF(C66=F68,F71,IF(C66=G68,G71,IF(C66=H68,H71,IF(C66=I68,I71,IF(C66=J68,J71,IF(C66=K68,K71,IF(C66=L68,L71,IF(C66=M68,M71,IF(C66=N68,N71,))))))))))))</f>
        <v>aprel</v>
      </c>
      <c r="I66" s="162">
        <f>YEAR(C65)</f>
        <v>2029</v>
      </c>
    </row>
    <row r="67" spans="1:14" hidden="1" x14ac:dyDescent="0.2">
      <c r="A67" s="3" t="s">
        <v>100</v>
      </c>
      <c r="B67" s="75" t="str">
        <f>B2</f>
        <v>07.04.2026</v>
      </c>
      <c r="C67" s="239">
        <f>MONTH(B67)</f>
        <v>4</v>
      </c>
      <c r="D67" s="239" t="str">
        <f>IF(C67=C68,C70,IF(C67=D68,D70,IF(C67=E68,E70,IF(C67=F68,F70,IF(C67=G68,G70,IF(C67=H68,H70,IF(C67=I68,I70,IF(C67=J68,J70,IF(C67=K68,K70,IF(C67=L68,L70,IF(C67=M68,M70,IF(C67=N68,N70,))))))))))))</f>
        <v>aprel</v>
      </c>
      <c r="E67" s="162">
        <f>DAY(B67)</f>
        <v>7</v>
      </c>
      <c r="F67" s="162">
        <f>YEAR(B67)</f>
        <v>2026</v>
      </c>
      <c r="G67" s="162">
        <f>MONTH(B67)</f>
        <v>4</v>
      </c>
      <c r="H67" s="162" t="str">
        <f>IF(C67=C68,C71,IF(C67=D68,D71,IF(C67=E68,E71,IF(C67=F68,F71,IF(C67=G68,G71,IF(C67=H68,H71,IF(C67=I68,I71,IF(C67=J68,J71,IF(C67=K68,K71,IF(C67=L68,L71,IF(C67=M68,M71,IF(C67=N68,N71,))))))))))))</f>
        <v>aprel</v>
      </c>
      <c r="I67" s="162">
        <f>YEAR(B67)</f>
        <v>2026</v>
      </c>
    </row>
    <row r="68" spans="1:14" hidden="1" x14ac:dyDescent="0.2">
      <c r="A68" s="3" t="s">
        <v>101</v>
      </c>
      <c r="B68" s="68" t="str">
        <f>""&amp;E67&amp;" "&amp;D67&amp;" "&amp;F67&amp;" y."</f>
        <v>7 aprel 2026 y.</v>
      </c>
      <c r="C68" s="239">
        <v>1</v>
      </c>
      <c r="D68" s="239">
        <v>2</v>
      </c>
      <c r="E68" s="162">
        <v>3</v>
      </c>
      <c r="F68" s="162">
        <v>4</v>
      </c>
      <c r="G68" s="162">
        <v>5</v>
      </c>
      <c r="H68" s="162">
        <v>6</v>
      </c>
      <c r="I68" s="162">
        <v>7</v>
      </c>
      <c r="J68" s="162">
        <v>8</v>
      </c>
      <c r="K68" s="162">
        <v>9</v>
      </c>
      <c r="L68" s="162">
        <v>10</v>
      </c>
      <c r="M68" s="162">
        <v>11</v>
      </c>
      <c r="N68" s="162">
        <v>12</v>
      </c>
    </row>
    <row r="69" spans="1:14" hidden="1" x14ac:dyDescent="0.2">
      <c r="A69" s="3"/>
      <c r="B69" s="68" t="str">
        <f>""&amp;E67&amp;" "&amp;H67&amp;" "&amp;F67&amp;" y."</f>
        <v>7 aprel 2026 y.</v>
      </c>
      <c r="C69" s="239"/>
      <c r="D69" s="239"/>
    </row>
    <row r="70" spans="1:14" hidden="1" x14ac:dyDescent="0.2">
      <c r="A70" s="3"/>
      <c r="B70" s="54" t="str">
        <f>B68</f>
        <v>7 aprel 2026 y.</v>
      </c>
      <c r="C70" s="239" t="s">
        <v>113</v>
      </c>
      <c r="D70" s="239" t="s">
        <v>114</v>
      </c>
      <c r="E70" s="162" t="s">
        <v>103</v>
      </c>
      <c r="F70" s="162" t="s">
        <v>104</v>
      </c>
      <c r="G70" s="162" t="s">
        <v>105</v>
      </c>
      <c r="H70" s="162" t="s">
        <v>106</v>
      </c>
      <c r="I70" s="162" t="s">
        <v>107</v>
      </c>
      <c r="J70" s="162" t="s">
        <v>108</v>
      </c>
      <c r="K70" s="162" t="s">
        <v>109</v>
      </c>
      <c r="L70" s="162" t="s">
        <v>110</v>
      </c>
      <c r="M70" s="162" t="s">
        <v>111</v>
      </c>
      <c r="N70" s="162" t="s">
        <v>112</v>
      </c>
    </row>
    <row r="71" spans="1:14" hidden="1" x14ac:dyDescent="0.2">
      <c r="A71" s="3"/>
      <c r="B71" s="54" t="str">
        <f>B69</f>
        <v>7 aprel 2026 y.</v>
      </c>
      <c r="C71" s="239" t="s">
        <v>113</v>
      </c>
      <c r="D71" s="239" t="s">
        <v>114</v>
      </c>
      <c r="E71" s="162" t="s">
        <v>103</v>
      </c>
      <c r="F71" s="162" t="s">
        <v>104</v>
      </c>
      <c r="G71" s="162" t="s">
        <v>105</v>
      </c>
      <c r="H71" s="162" t="s">
        <v>106</v>
      </c>
      <c r="I71" s="162" t="s">
        <v>107</v>
      </c>
      <c r="J71" s="162" t="s">
        <v>108</v>
      </c>
      <c r="K71" s="162" t="s">
        <v>109</v>
      </c>
      <c r="L71" s="162" t="s">
        <v>110</v>
      </c>
      <c r="M71" s="162" t="s">
        <v>111</v>
      </c>
      <c r="N71" s="162" t="s">
        <v>112</v>
      </c>
    </row>
    <row r="72" spans="1:14" hidden="1" x14ac:dyDescent="0.2">
      <c r="A72" s="3" t="s">
        <v>102</v>
      </c>
      <c r="B72" s="53" t="str">
        <f>""&amp;E66&amp;" "&amp;D66&amp;" "&amp;F66&amp;" y."</f>
        <v>7 aprel 2029 y.</v>
      </c>
      <c r="C72" s="239"/>
      <c r="D72" s="239"/>
    </row>
    <row r="73" spans="1:14" hidden="1" x14ac:dyDescent="0.2">
      <c r="A73" s="3"/>
      <c r="B73" s="53" t="str">
        <f>""&amp;E66&amp;" "&amp;H66&amp;" "&amp;F66&amp;" y."</f>
        <v>7 aprel 2029 y.</v>
      </c>
      <c r="C73" s="239"/>
      <c r="D73" s="239"/>
    </row>
    <row r="74" spans="1:14" hidden="1" x14ac:dyDescent="0.2">
      <c r="A74" s="3" t="s">
        <v>115</v>
      </c>
      <c r="B74" s="1" t="str">
        <f>""&amp;B68&amp;"dan "&amp;B66&amp;""</f>
        <v>7 aprel 2026 y.dan № 323-BR</v>
      </c>
      <c r="C74" s="239"/>
      <c r="D74" s="239"/>
    </row>
    <row r="75" spans="1:14" ht="15.75" thickBot="1" x14ac:dyDescent="0.25">
      <c r="A75" s="3" t="str">
        <f>CONCATENATE(B65," miqdori (summasi)")</f>
        <v>mikroqarz miqdori (summasi)</v>
      </c>
      <c r="B75" s="62">
        <v>35000000</v>
      </c>
      <c r="C75" s="243">
        <f>+B76*1.4</f>
        <v>72800000</v>
      </c>
      <c r="D75" s="23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C75))&gt;6,ROMAN(MID(INT(C75),1,LEN(INT(C75))-6)+0)&amp;" million "&amp;ROMAN(MID(INT(C75),LEN(INT(C75))-5,3)+0)&amp;" ming "&amp;ROMAN(MID(INT(C75),LEN(INT(C75))-2,3)+0),IF(LEN(INT(C75))&gt;3,ROMAN(MID(INT(C75),1,LEN(INT(C75))-3)+0)&amp;" ming "&amp;ROMAN(MID(INT(C75),LEN(INT(C75))-2,3)+0),ROMAN(INT(C75)))),"DCCC","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yetmish ikki million sakkiz yuz ming so'm</v>
      </c>
    </row>
    <row r="76" spans="1:14" x14ac:dyDescent="0.2">
      <c r="A76" s="3" t="str">
        <f>CONCATENATE(B65," miqdori (summasi)")</f>
        <v>mikroqarz miqdori (summasi)</v>
      </c>
      <c r="B76" s="62">
        <f>B75+B153</f>
        <v>52000000</v>
      </c>
      <c r="C76" s="244" t="s">
        <v>121</v>
      </c>
      <c r="D76" s="239"/>
    </row>
    <row r="77" spans="1:14" ht="28.5" x14ac:dyDescent="0.2">
      <c r="A77" s="138" t="s">
        <v>116</v>
      </c>
      <c r="B77" s="4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ikki million so'm</v>
      </c>
      <c r="C77" s="245"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Ellik ikki million so'm</v>
      </c>
      <c r="D77" s="239"/>
    </row>
    <row r="78" spans="1:14" x14ac:dyDescent="0.2">
      <c r="A78" s="3" t="s">
        <v>117</v>
      </c>
      <c r="B78" s="46" t="s">
        <v>123</v>
      </c>
      <c r="C78" s="162" t="s">
        <v>123</v>
      </c>
      <c r="D78" s="162" t="s">
        <v>122</v>
      </c>
    </row>
    <row r="79" spans="1:14" x14ac:dyDescent="0.2">
      <c r="A79" s="3" t="str">
        <f>CONCATENATE(B65,"ni to'lash sanasi (14.10.2011)")</f>
        <v>mikroqarzni to'lash sanasi (14.10.2011)</v>
      </c>
      <c r="B79" s="46">
        <v>5</v>
      </c>
      <c r="C79" s="207">
        <f>DATE(YEAR(B67),MONTH(B67)+1,DAY(B79))</f>
        <v>46147</v>
      </c>
      <c r="D79" s="162" t="s">
        <v>24</v>
      </c>
      <c r="E79" s="162" t="s">
        <v>25</v>
      </c>
      <c r="F79" s="162" t="s">
        <v>26</v>
      </c>
      <c r="G79" s="162" t="s">
        <v>27</v>
      </c>
      <c r="H79" s="162" t="s">
        <v>28</v>
      </c>
      <c r="I79" s="162" t="s">
        <v>29</v>
      </c>
      <c r="J79" s="162" t="s">
        <v>30</v>
      </c>
    </row>
    <row r="80" spans="1:14" ht="30" hidden="1" x14ac:dyDescent="0.25">
      <c r="A80" s="3" t="str">
        <f>CONCATENATE(B65,"ni to'lash sanasi (14.10.2011 y.) QO’L BILAN KIRITILADI")</f>
        <v>mikroqarzni to'lash sanasi (14.10.2011 y.) QO’L BILAN KIRITILADI</v>
      </c>
      <c r="B80" s="69">
        <f>DATE(YEAR(B67),MONTH(B67)+1,DAY(B79+C81))</f>
        <v>46147</v>
      </c>
      <c r="C80" s="208" t="str">
        <f>TEXT(C79,"ддд")</f>
        <v>Вт</v>
      </c>
      <c r="D80" s="162" t="s">
        <v>24</v>
      </c>
      <c r="E80" s="162" t="s">
        <v>25</v>
      </c>
      <c r="F80" s="162" t="s">
        <v>26</v>
      </c>
      <c r="G80" s="162" t="s">
        <v>27</v>
      </c>
      <c r="H80" s="162" t="s">
        <v>28</v>
      </c>
      <c r="I80" s="162" t="s">
        <v>29</v>
      </c>
      <c r="J80" s="162" t="s">
        <v>30</v>
      </c>
    </row>
    <row r="81" spans="1:63" ht="30" hidden="1" x14ac:dyDescent="0.2">
      <c r="A81" s="3" t="s">
        <v>118</v>
      </c>
      <c r="B81" s="70">
        <f>B80</f>
        <v>46147</v>
      </c>
      <c r="C81" s="162">
        <f>IF(C80=I80,2,IF(C80=J80,1,0))</f>
        <v>0</v>
      </c>
    </row>
    <row r="82" spans="1:63" x14ac:dyDescent="0.2">
      <c r="A82" s="3" t="str">
        <f>CONCATENATE(B65," muddati")</f>
        <v>mikroqarz muddati</v>
      </c>
      <c r="B82" s="46">
        <v>36</v>
      </c>
      <c r="C82" s="162">
        <v>6</v>
      </c>
      <c r="D82" s="162">
        <v>12</v>
      </c>
      <c r="E82" s="162">
        <v>18</v>
      </c>
      <c r="F82" s="162">
        <v>24</v>
      </c>
      <c r="G82" s="162">
        <v>36</v>
      </c>
    </row>
    <row r="83" spans="1:63" ht="30" x14ac:dyDescent="0.2">
      <c r="A83" s="3" t="str">
        <f>CONCATENATE(B65," muddati QO’L BILAN KIRITILADI")</f>
        <v>mikroqarz muddati QO’L BILAN KIRITILADI</v>
      </c>
      <c r="B83" s="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O'ttiz olti  </v>
      </c>
    </row>
    <row r="84" spans="1:63" ht="30" x14ac:dyDescent="0.2">
      <c r="A84" s="154" t="s">
        <v>334</v>
      </c>
      <c r="B84" s="135">
        <v>0</v>
      </c>
      <c r="BJ84" s="162">
        <v>1</v>
      </c>
      <c r="BK84" s="162">
        <v>0</v>
      </c>
    </row>
    <row r="85" spans="1:63" x14ac:dyDescent="0.2">
      <c r="A85" s="3" t="str">
        <f>CONCATENATE(B65," stavkasi")</f>
        <v>mikroqarz stavkasi</v>
      </c>
      <c r="B85" s="71">
        <v>0.55000000000000004</v>
      </c>
    </row>
    <row r="86" spans="1:63" x14ac:dyDescent="0.2">
      <c r="A86" s="3" t="str">
        <f>CONCATENATE(B65," stavkasi")</f>
        <v>mikroqarz stavkasi</v>
      </c>
      <c r="B86" s="263" t="s">
        <v>381</v>
      </c>
    </row>
    <row r="87" spans="1:63" x14ac:dyDescent="0.2">
      <c r="A87" s="3" t="str">
        <f>CONCATENATE(B65," stavkasi (so’z bilan)")</f>
        <v>mikroqarz stavkasi (so’z bilan)</v>
      </c>
      <c r="B87" s="7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c r="C87" s="16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row>
    <row r="88" spans="1:63" x14ac:dyDescent="0.2">
      <c r="A88" s="3" t="str">
        <f>CONCATENATE("Muddati o'tgan ",B65," bo’yicha stavka")</f>
        <v>Muddati o'tgan mikroqarz bo’yicha stavka</v>
      </c>
      <c r="B88" s="71">
        <v>1.55</v>
      </c>
    </row>
    <row r="89" spans="1:63" x14ac:dyDescent="0.2">
      <c r="A89" s="138" t="s">
        <v>116</v>
      </c>
      <c r="B89" s="263" t="s">
        <v>433</v>
      </c>
    </row>
    <row r="90" spans="1:63" x14ac:dyDescent="0.2">
      <c r="A90" s="3" t="str">
        <f>CONCATENATE("Muddati o'tgan ",B65," bo’yicha stavka")</f>
        <v>Muddati o'tgan mikroqarz bo’yicha stavka</v>
      </c>
      <c r="B90" s="261" t="s">
        <v>432</v>
      </c>
      <c r="C90" s="262" t="s">
        <v>432</v>
      </c>
    </row>
    <row r="91" spans="1:63" x14ac:dyDescent="0.2">
      <c r="A91" s="3" t="s">
        <v>119</v>
      </c>
      <c r="B91" s="73">
        <f>IF(B78=C78,LARGE(График!F9:F26,1),ROUND(PMT(B85/12,B82,-B76,0),-3))</f>
        <v>3806012.04</v>
      </c>
    </row>
    <row r="92" spans="1:63" x14ac:dyDescent="0.2">
      <c r="A92" s="278" t="s">
        <v>371</v>
      </c>
      <c r="B92" s="279"/>
    </row>
    <row r="93" spans="1:63" x14ac:dyDescent="0.2">
      <c r="A93" s="176" t="s">
        <v>372</v>
      </c>
      <c r="B93" s="266" t="s">
        <v>482</v>
      </c>
    </row>
    <row r="94" spans="1:63" x14ac:dyDescent="0.2">
      <c r="A94" s="176" t="s">
        <v>373</v>
      </c>
      <c r="B94" s="235" t="s">
        <v>483</v>
      </c>
    </row>
    <row r="95" spans="1:63" x14ac:dyDescent="0.2">
      <c r="A95" s="176" t="s">
        <v>374</v>
      </c>
      <c r="B95" s="260" t="s">
        <v>484</v>
      </c>
    </row>
    <row r="96" spans="1:63" x14ac:dyDescent="0.2">
      <c r="A96" s="176" t="s">
        <v>375</v>
      </c>
      <c r="B96" s="260" t="s">
        <v>485</v>
      </c>
    </row>
    <row r="97" spans="1:4" x14ac:dyDescent="0.2">
      <c r="A97" s="176" t="s">
        <v>376</v>
      </c>
      <c r="B97" s="260" t="s">
        <v>486</v>
      </c>
    </row>
    <row r="98" spans="1:4" x14ac:dyDescent="0.2">
      <c r="A98" s="277" t="s">
        <v>120</v>
      </c>
      <c r="B98" s="277"/>
    </row>
    <row r="99" spans="1:4" ht="18" x14ac:dyDescent="0.2">
      <c r="A99" s="74"/>
      <c r="B99" s="128" t="s">
        <v>125</v>
      </c>
      <c r="C99" s="209" t="s">
        <v>125</v>
      </c>
      <c r="D99" s="162" t="s">
        <v>126</v>
      </c>
    </row>
    <row r="100" spans="1:4" ht="18" x14ac:dyDescent="0.2">
      <c r="A100" s="7" t="s">
        <v>131</v>
      </c>
      <c r="B100" s="128" t="s">
        <v>128</v>
      </c>
      <c r="C100" s="210" t="s">
        <v>127</v>
      </c>
      <c r="D100" s="162" t="s">
        <v>128</v>
      </c>
    </row>
    <row r="101" spans="1:4" ht="54" x14ac:dyDescent="0.2">
      <c r="A101" s="7" t="s">
        <v>132</v>
      </c>
      <c r="B101" s="128" t="s">
        <v>130</v>
      </c>
      <c r="C101" s="162" t="s">
        <v>129</v>
      </c>
      <c r="D101" s="162" t="s">
        <v>130</v>
      </c>
    </row>
    <row r="102" spans="1:4" ht="36" x14ac:dyDescent="0.2">
      <c r="A102" s="7" t="s">
        <v>133</v>
      </c>
      <c r="B102" s="128" t="s">
        <v>466</v>
      </c>
    </row>
    <row r="103" spans="1:4" ht="54" x14ac:dyDescent="0.2">
      <c r="A103" s="7" t="s">
        <v>134</v>
      </c>
      <c r="B103" s="128" t="s">
        <v>467</v>
      </c>
    </row>
    <row r="104" spans="1:4" x14ac:dyDescent="0.2">
      <c r="A104" s="277" t="s">
        <v>135</v>
      </c>
      <c r="B104" s="277"/>
    </row>
    <row r="105" spans="1:4" ht="36" x14ac:dyDescent="0.2">
      <c r="A105" s="7" t="s">
        <v>136</v>
      </c>
      <c r="B105" s="128" t="s">
        <v>468</v>
      </c>
    </row>
    <row r="106" spans="1:4" ht="54" x14ac:dyDescent="0.2">
      <c r="A106" s="7" t="s">
        <v>137</v>
      </c>
      <c r="B106" s="128" t="s">
        <v>469</v>
      </c>
    </row>
    <row r="107" spans="1:4" ht="18" x14ac:dyDescent="0.2">
      <c r="A107" s="7" t="s">
        <v>138</v>
      </c>
      <c r="B107" s="136" t="s">
        <v>470</v>
      </c>
    </row>
    <row r="108" spans="1:4" ht="18" x14ac:dyDescent="0.2">
      <c r="A108" s="7" t="s">
        <v>139</v>
      </c>
      <c r="B108" s="134" t="s">
        <v>494</v>
      </c>
    </row>
    <row r="109" spans="1:4" ht="18" hidden="1" x14ac:dyDescent="0.2">
      <c r="A109" s="7"/>
      <c r="B109" s="128" t="str">
        <f>TEXT(B108,"ДД.ММ.ГГГГ")</f>
        <v>07.04.2026 y</v>
      </c>
    </row>
    <row r="110" spans="1:4" ht="18" x14ac:dyDescent="0.2">
      <c r="A110" s="7"/>
      <c r="B110" s="8" t="s">
        <v>140</v>
      </c>
      <c r="C110" s="162" t="s">
        <v>140</v>
      </c>
      <c r="D110" s="162" t="s">
        <v>141</v>
      </c>
    </row>
    <row r="111" spans="1:4" ht="90" x14ac:dyDescent="0.2">
      <c r="A111" s="159" t="s">
        <v>336</v>
      </c>
      <c r="B111" s="158" t="s">
        <v>335</v>
      </c>
      <c r="C111" s="211" t="s">
        <v>141</v>
      </c>
    </row>
    <row r="112" spans="1:4" ht="30" x14ac:dyDescent="0.2">
      <c r="A112" s="153" t="s">
        <v>357</v>
      </c>
      <c r="B112" s="246" t="s">
        <v>471</v>
      </c>
      <c r="C112" s="211"/>
    </row>
    <row r="113" spans="1:4" ht="30" x14ac:dyDescent="0.2">
      <c r="A113" s="153" t="s">
        <v>358</v>
      </c>
      <c r="B113" s="246" t="s">
        <v>495</v>
      </c>
      <c r="C113" s="211"/>
    </row>
    <row r="114" spans="1:4" ht="60" x14ac:dyDescent="0.2">
      <c r="A114" s="153" t="str">
        <f>A120</f>
        <v>Tug’ilgan sanasi (01.10.2011 y.)</v>
      </c>
      <c r="B114" s="247" t="s">
        <v>472</v>
      </c>
      <c r="C114" s="211"/>
    </row>
    <row r="115" spans="1:4" ht="60" x14ac:dyDescent="0.2">
      <c r="A115" s="153" t="str">
        <f>A121</f>
        <v>Pasport seriyasi (СА №1234567)</v>
      </c>
      <c r="B115" s="246" t="s">
        <v>473</v>
      </c>
      <c r="C115" s="211"/>
    </row>
    <row r="116" spans="1:4" ht="108.75" customHeight="1" x14ac:dyDescent="0.2">
      <c r="A116" s="153" t="str">
        <f>A122</f>
        <v xml:space="preserve">Kim va qachon berilgan
(Toshkent shahri Chilonzor IIB tomonidan 2011 yil __.____)
</v>
      </c>
      <c r="B116" s="246" t="s">
        <v>496</v>
      </c>
      <c r="C116" s="211"/>
    </row>
    <row r="117" spans="1:4" ht="150.75" customHeight="1" x14ac:dyDescent="0.2">
      <c r="A117" s="153" t="str">
        <f>A123</f>
        <v xml:space="preserve">doimiy ro’yhatdan o’tgan joyi
(Toshkent sh., Mirobod tumani, Nukus ko’chasi, 1 uy, 1 honadon)
</v>
      </c>
      <c r="B117" s="246" t="s">
        <v>474</v>
      </c>
      <c r="C117" s="211"/>
    </row>
    <row r="118" spans="1:4" hidden="1" x14ac:dyDescent="0.2">
      <c r="A118" s="126" t="s">
        <v>153</v>
      </c>
      <c r="B118" s="119" t="str">
        <f>IF(B100="HA",B5,B112)</f>
        <v>RO'ZIYEV ODILJON OLIMJONOVICH</v>
      </c>
      <c r="C118" s="212">
        <f>IF(B100="HA",B5,C112)</f>
        <v>0</v>
      </c>
    </row>
    <row r="119" spans="1:4" hidden="1" x14ac:dyDescent="0.2">
      <c r="A119" s="126"/>
      <c r="B119" s="119" t="str">
        <f>IF(B100="HA",B7,B113)</f>
        <v>RO'ZIYEV O.O.</v>
      </c>
      <c r="C119" s="212">
        <f>IF(B100="HA",B7,C113)</f>
        <v>0</v>
      </c>
    </row>
    <row r="120" spans="1:4" hidden="1" x14ac:dyDescent="0.2">
      <c r="A120" s="127" t="s">
        <v>154</v>
      </c>
      <c r="B120" s="152" t="str">
        <f>IF(B100="HA",B15,B114)</f>
        <v>11.07.1987 y</v>
      </c>
      <c r="C120" s="212">
        <f>IF(B100="HA",B15,C114)</f>
        <v>0</v>
      </c>
    </row>
    <row r="121" spans="1:4" hidden="1" x14ac:dyDescent="0.2">
      <c r="A121" s="127" t="s">
        <v>59</v>
      </c>
      <c r="B121" s="152" t="str">
        <f>IF(B100="HA",B16,B115)</f>
        <v xml:space="preserve">FA 3070122 </v>
      </c>
      <c r="C121" s="212">
        <f>IF(B100="HA",B16,C115)</f>
        <v>0</v>
      </c>
    </row>
    <row r="122" spans="1:4" ht="30" hidden="1" customHeight="1" x14ac:dyDescent="0.2">
      <c r="A122" s="127" t="s">
        <v>62</v>
      </c>
      <c r="B122" s="119" t="str">
        <f>IF(B100="HA",B20,B116)</f>
        <v>BUXORO VILOYATI OLOT TUMANI IIB tamonidan 15.06.2021 yilda berilgan</v>
      </c>
      <c r="C122" s="212">
        <f>IF(B100="HA",B20,C116)</f>
        <v>0</v>
      </c>
      <c r="D122" s="162">
        <v>493193762</v>
      </c>
    </row>
    <row r="123" spans="1:4" ht="53.25" hidden="1" customHeight="1" x14ac:dyDescent="0.2">
      <c r="A123" s="127" t="s">
        <v>64</v>
      </c>
      <c r="B123" s="119" t="str">
        <f>IF(B100="HA",B22,B117)</f>
        <v>BUXORO VILOYATI OLOT TUMANI ASAJAM MFY ASAJAM</v>
      </c>
      <c r="C123" s="213">
        <f>IF(B100="HA",B22,C117)</f>
        <v>0</v>
      </c>
    </row>
    <row r="124" spans="1:4" hidden="1" x14ac:dyDescent="0.2">
      <c r="A124" s="127" t="s">
        <v>155</v>
      </c>
      <c r="B124" s="1" t="str">
        <f>IF(B100="ha",B5,B118)</f>
        <v>RO'ZIYEV ODILJON OLIMJONOVICH</v>
      </c>
      <c r="C124" s="214">
        <f>IF(B100="ha",B5,C118)</f>
        <v>0</v>
      </c>
    </row>
    <row r="125" spans="1:4" hidden="1" x14ac:dyDescent="0.2">
      <c r="A125" s="127"/>
      <c r="B125" s="1" t="str">
        <f>IF(B100="ha",B7,B119)</f>
        <v>RO'ZIYEV O.O.</v>
      </c>
      <c r="C125" s="214">
        <f>IF(B100="ha",B7,C119)</f>
        <v>0</v>
      </c>
    </row>
    <row r="126" spans="1:4" hidden="1" x14ac:dyDescent="0.2">
      <c r="A126" s="3" t="s">
        <v>154</v>
      </c>
      <c r="B126" s="1" t="str">
        <f>IF(B100="ha",B15,B120)</f>
        <v>11.07.1987 y</v>
      </c>
      <c r="C126" s="214">
        <f>IF(B100="ha",B15,C120)</f>
        <v>0</v>
      </c>
    </row>
    <row r="127" spans="1:4" hidden="1" x14ac:dyDescent="0.2">
      <c r="A127" s="3" t="s">
        <v>59</v>
      </c>
      <c r="B127" s="1" t="str">
        <f>IF(B100="ha",B16,B121)</f>
        <v xml:space="preserve">FA 3070122 </v>
      </c>
      <c r="C127" s="214">
        <f>IF(B100="ha",B16,C121)</f>
        <v>0</v>
      </c>
    </row>
    <row r="128" spans="1:4" ht="60" hidden="1" x14ac:dyDescent="0.2">
      <c r="A128" s="3" t="s">
        <v>62</v>
      </c>
      <c r="B128" s="1" t="str">
        <f>IF(B100="ha",B20,B122)</f>
        <v>BUXORO VILOYATI OLOT TUMANI IIB tamonidan 15.06.2021 yilda berilgan</v>
      </c>
      <c r="C128" s="214">
        <f>IF(B100="ha",B20,C122)</f>
        <v>0</v>
      </c>
    </row>
    <row r="129" spans="1:18" ht="60" hidden="1" x14ac:dyDescent="0.2">
      <c r="A129" s="3" t="s">
        <v>64</v>
      </c>
      <c r="B129" s="150" t="str">
        <f>IF(B100="ha",B22,B123)</f>
        <v>BUXORO VILOYATI OLOT TUMANI ASAJAM MFY ASAJAM</v>
      </c>
      <c r="C129" s="215">
        <f>IF(B100="ha",B22,C123)</f>
        <v>0</v>
      </c>
    </row>
    <row r="130" spans="1:18" ht="98.25" customHeight="1" x14ac:dyDescent="0.2">
      <c r="A130" s="3" t="s">
        <v>156</v>
      </c>
      <c r="B130" s="234" t="s">
        <v>475</v>
      </c>
      <c r="C130" s="216"/>
      <c r="N130" s="162" t="str">
        <f>IF(B110=C110,B124,IF(B110=D110,C124,0))</f>
        <v>RO'ZIYEV ODILJON OLIMJONOVICH</v>
      </c>
    </row>
    <row r="131" spans="1:18" ht="60" x14ac:dyDescent="0.2">
      <c r="A131" s="3" t="s">
        <v>157</v>
      </c>
      <c r="B131" s="234" t="s">
        <v>497</v>
      </c>
      <c r="C131" s="214"/>
      <c r="D131" s="217" t="s">
        <v>146</v>
      </c>
      <c r="Q131" s="162" t="str">
        <f>""&amp;B102&amp;" (по генеральному доверенестью №"&amp;B107&amp;" от "&amp;B109&amp;")"</f>
        <v>ALLAMURODOV ALISHER YOQUBOVICH (по генеральному доверенестью №202602372001231 от 07.04.2026 y)</v>
      </c>
      <c r="R131" s="162" t="str">
        <f>""&amp;B102&amp;" ("&amp;B109&amp;"y. sanasidagi reestr raqami №"&amp;B107&amp;" bo'lgan Ishonchnomaga asosan)"</f>
        <v>ALLAMURODOV ALISHER YOQUBOVICH (07.04.2026 yy. sanasidagi reestr raqami №202602372001231 bo'lgan Ishonchnomaga asosan)</v>
      </c>
    </row>
    <row r="132" spans="1:18" x14ac:dyDescent="0.2">
      <c r="A132" s="3" t="s">
        <v>22</v>
      </c>
      <c r="B132" s="234" t="s">
        <v>476</v>
      </c>
      <c r="C132" s="215" t="str">
        <f>""&amp;D133&amp;" "&amp;IF(C136=D136,"- xonali yakka tartibdagi uy-joy", IF(C136=E136,"-  xonali ko'p qavatli uydagi xonadon",0))&amp;""</f>
        <v xml:space="preserve"> 0</v>
      </c>
      <c r="D132" s="218" t="s">
        <v>144</v>
      </c>
      <c r="E132" s="162">
        <f>IF($C$136=$D$136,I132,IF($C$136=$E$136,H132,0))</f>
        <v>0</v>
      </c>
      <c r="F132" s="162">
        <f>IF($C$136=$D$136,I132,IF($C$136=$E$136,H132,0))</f>
        <v>0</v>
      </c>
      <c r="H132" s="162" t="str">
        <f>"Ko'p qavatli uydagi "&amp;D133&amp;" - xonali xonadon"</f>
        <v>Ko'p qavatli uydagi  - xonali xonadon</v>
      </c>
      <c r="I132" s="162" t="str">
        <f>""&amp;D133&amp;" - xonali yakka tartibdagi uy-joy"</f>
        <v xml:space="preserve"> - xonali yakka tartibdagi uy-joy</v>
      </c>
      <c r="N132" s="162" t="str">
        <f>IF(B100=C100,Q133,IF(B100=D100,Q132,0))</f>
        <v>Микрофинансовой организацией, Заемщиком и ALLAMURODOV ALISHER YOQUBOVICH (по генеральному доверенестью №202602372001231 от 07.04.2026 y)</v>
      </c>
      <c r="Q132" s="162" t="str">
        <f>"Микрофинансовой организацией, Заемщиком и "&amp;IF(B101=D101,Q131,IF(B101=C101,B118,0))&amp;""</f>
        <v>Микрофинансовой организацией, Заемщиком и ALLAMURODOV ALISHER YOQUBOVICH (по генеральному доверенестью №202602372001231 от 07.04.2026 y)</v>
      </c>
      <c r="R132" s="162" t="str">
        <f>"Mikromoliya tashkiloti, Qarz oluvchi va "&amp;IF(B101=D101,R131,IF(B101=C101,B118))&amp;""</f>
        <v>Mikromoliya tashkiloti, Qarz oluvchi va ALLAMURODOV ALISHER YOQUBOVICH (07.04.2026 yy. sanasidagi reestr raqami №202602372001231 bo'lgan Ishonchnomaga asosan)</v>
      </c>
    </row>
    <row r="133" spans="1:18" ht="30" x14ac:dyDescent="0.2">
      <c r="A133" s="3" t="s">
        <v>158</v>
      </c>
      <c r="B133" s="250" t="s">
        <v>477</v>
      </c>
      <c r="C133" s="215" t="str">
        <f>C132</f>
        <v xml:space="preserve"> 0</v>
      </c>
      <c r="D133" s="219"/>
      <c r="E133" s="162">
        <f>IF($C$136=$D$136,I133,IF($C$136=$E$136,H133,0))</f>
        <v>0</v>
      </c>
      <c r="F133" s="162">
        <f>IF($C$136=$D$136,I133,IF($C$136=$E$136,H133,0))</f>
        <v>0</v>
      </c>
      <c r="H133" s="162" t="str">
        <f>"umumiy maydoni - "&amp;C137&amp;", yashash maydoni - "&amp;C140&amp;""</f>
        <v xml:space="preserve">umumiy maydoni - , yashash maydoni - </v>
      </c>
      <c r="I133" s="162" t="str">
        <f>"yer uchastkasi maydoni - "&amp;C138&amp;", umumiy maydoni - "&amp;C137&amp;", yashash maydoni - "&amp;C140&amp;""</f>
        <v xml:space="preserve">yer uchastkasi maydoni - , umumiy maydoni - , yashash maydoni - </v>
      </c>
      <c r="N133" s="162" t="str">
        <f>IF(B100=C100,R133,IF(B100=D100,R132,0))</f>
        <v>Mikromoliya tashkiloti, Qarz oluvchi va ALLAMURODOV ALISHER YOQUBOVICH (07.04.2026 yy. sanasidagi reestr raqami №202602372001231 bo'lgan Ishonchnomaga asosan)</v>
      </c>
      <c r="Q133" s="162" t="s">
        <v>46</v>
      </c>
      <c r="R133" s="162" t="s">
        <v>145</v>
      </c>
    </row>
    <row r="134" spans="1:18" ht="27" hidden="1" customHeight="1" x14ac:dyDescent="0.2">
      <c r="A134" s="3" t="s">
        <v>159</v>
      </c>
      <c r="B134" s="67" t="str">
        <f>"kuzov turi - "&amp;B135&amp;", kuzov raqami "&amp;B136&amp;""</f>
        <v>kuzov turi - YENGIL SEDAN, kuzov raqami XWBMF48NEJA525204</v>
      </c>
      <c r="C134" s="214"/>
      <c r="D134" s="217" t="s">
        <v>363</v>
      </c>
    </row>
    <row r="135" spans="1:18" x14ac:dyDescent="0.2">
      <c r="A135" s="63" t="s">
        <v>160</v>
      </c>
      <c r="B135" s="234" t="s">
        <v>430</v>
      </c>
      <c r="C135" s="220"/>
    </row>
    <row r="136" spans="1:18" x14ac:dyDescent="0.2">
      <c r="A136" s="63" t="s">
        <v>161</v>
      </c>
      <c r="B136" s="234" t="s">
        <v>478</v>
      </c>
      <c r="C136" s="202"/>
      <c r="D136" s="162" t="s">
        <v>147</v>
      </c>
      <c r="E136" s="162" t="s">
        <v>148</v>
      </c>
    </row>
    <row r="137" spans="1:18" ht="27" hidden="1" customHeight="1" x14ac:dyDescent="0.25">
      <c r="A137" s="3" t="s">
        <v>162</v>
      </c>
      <c r="B137" s="67" t="str">
        <f>"dvigatel raqami "&amp;B138&amp;", shassi raqami - "&amp;B139&amp;""</f>
        <v>dvigatel raqami B15D212181062B8JX0417, shassi raqami - RAKAMSIZ</v>
      </c>
      <c r="C137" s="202"/>
      <c r="D137" s="221" t="s">
        <v>149</v>
      </c>
      <c r="E137" s="162" t="str">
        <f>CONCATENATE(C137," ","kv.m")</f>
        <v xml:space="preserve"> kv.m</v>
      </c>
      <c r="F137" s="164">
        <f>C137-C140</f>
        <v>0</v>
      </c>
    </row>
    <row r="138" spans="1:18" x14ac:dyDescent="0.25">
      <c r="A138" s="63" t="s">
        <v>163</v>
      </c>
      <c r="B138" s="260" t="s">
        <v>479</v>
      </c>
      <c r="C138" s="202"/>
      <c r="D138" s="221" t="s">
        <v>150</v>
      </c>
    </row>
    <row r="139" spans="1:18" x14ac:dyDescent="0.2">
      <c r="A139" s="63" t="s">
        <v>164</v>
      </c>
      <c r="B139" s="234" t="s">
        <v>498</v>
      </c>
      <c r="C139" s="202"/>
    </row>
    <row r="140" spans="1:18" ht="25.5" hidden="1" customHeight="1" x14ac:dyDescent="0.25">
      <c r="A140" s="3" t="s">
        <v>165</v>
      </c>
      <c r="B140" s="67" t="str">
        <f>"rangi -  "&amp;B141&amp;", ishlab chiqarilgan yili - "&amp;B142&amp;""</f>
        <v>rangi -  OQ BELAYA, ishlab chiqarilgan yili - 2018</v>
      </c>
      <c r="C140" s="222"/>
      <c r="D140" s="221" t="s">
        <v>244</v>
      </c>
      <c r="E140" s="162" t="str">
        <f>CONCATENATE(C140," ","kv.m")</f>
        <v xml:space="preserve"> kv.m</v>
      </c>
    </row>
    <row r="141" spans="1:18" x14ac:dyDescent="0.2">
      <c r="A141" s="63" t="s">
        <v>166</v>
      </c>
      <c r="B141" s="234" t="s">
        <v>480</v>
      </c>
      <c r="C141" s="202"/>
    </row>
    <row r="142" spans="1:18" ht="30" x14ac:dyDescent="0.25">
      <c r="A142" s="63" t="s">
        <v>167</v>
      </c>
      <c r="B142" s="235" t="s">
        <v>481</v>
      </c>
      <c r="C142" s="220"/>
      <c r="D142" s="223" t="s">
        <v>364</v>
      </c>
    </row>
    <row r="143" spans="1:18" x14ac:dyDescent="0.25">
      <c r="A143" s="3" t="s">
        <v>168</v>
      </c>
      <c r="B143" s="240">
        <f>B75*1.4</f>
        <v>49000000</v>
      </c>
      <c r="C143" s="224">
        <f>B143</f>
        <v>49000000</v>
      </c>
      <c r="D143" s="221" t="s">
        <v>168</v>
      </c>
    </row>
    <row r="144" spans="1:18" ht="27.75" customHeight="1" x14ac:dyDescent="0.2">
      <c r="A144" s="157"/>
      <c r="B144" s="187"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to'qqiz million so'm</v>
      </c>
      <c r="C144" s="224" t="str">
        <f>B144</f>
        <v>qirq to'qqiz million so'm</v>
      </c>
    </row>
    <row r="145" spans="1:3" ht="27.75" customHeight="1" x14ac:dyDescent="0.2">
      <c r="A145" s="3"/>
      <c r="B145" s="188" t="str">
        <f>B144</f>
        <v>qirq to'qqiz million so'm</v>
      </c>
      <c r="C145" s="225"/>
    </row>
    <row r="146" spans="1:3" ht="20.25" x14ac:dyDescent="0.2">
      <c r="A146" s="3" t="s">
        <v>333</v>
      </c>
      <c r="B146" s="258">
        <v>76397</v>
      </c>
    </row>
    <row r="147" spans="1:3" x14ac:dyDescent="0.2">
      <c r="A147" s="3" t="s">
        <v>359</v>
      </c>
      <c r="B147" s="46"/>
    </row>
    <row r="148" spans="1:3" x14ac:dyDescent="0.2">
      <c r="A148" s="3" t="s">
        <v>151</v>
      </c>
      <c r="B148" s="2" t="s">
        <v>142</v>
      </c>
      <c r="C148" s="162">
        <v>1</v>
      </c>
    </row>
    <row r="149" spans="1:3" hidden="1" x14ac:dyDescent="0.2">
      <c r="A149" s="3" t="s">
        <v>152</v>
      </c>
      <c r="B149" s="4" t="str">
        <f>B70</f>
        <v>7 aprel 2026 y.</v>
      </c>
      <c r="C149" s="162" t="str">
        <f>B70</f>
        <v>7 aprel 2026 y.</v>
      </c>
    </row>
    <row r="150" spans="1:3" hidden="1" x14ac:dyDescent="0.2">
      <c r="A150" s="3"/>
      <c r="B150" s="1">
        <f>YEAR(B67)</f>
        <v>2026</v>
      </c>
    </row>
    <row r="151" spans="1:3" hidden="1" x14ac:dyDescent="0.2">
      <c r="A151" s="3"/>
      <c r="B151" s="139" t="str">
        <f>D67</f>
        <v>aprel</v>
      </c>
    </row>
    <row r="152" spans="1:3" hidden="1" x14ac:dyDescent="0.2">
      <c r="A152" s="167"/>
      <c r="B152" s="168">
        <f>DAY(B67)</f>
        <v>7</v>
      </c>
    </row>
    <row r="153" spans="1:3" ht="30.75" thickBot="1" x14ac:dyDescent="0.25">
      <c r="A153" s="237" t="s">
        <v>400</v>
      </c>
      <c r="B153" s="238">
        <v>17000000</v>
      </c>
    </row>
    <row r="154" spans="1:3" ht="20.25" x14ac:dyDescent="0.2">
      <c r="A154" s="169" t="s">
        <v>366</v>
      </c>
      <c r="B154" s="231" t="s">
        <v>396</v>
      </c>
    </row>
    <row r="155" spans="1:3" ht="20.25" x14ac:dyDescent="0.2">
      <c r="A155" s="170" t="s">
        <v>367</v>
      </c>
      <c r="B155" s="171">
        <f>+B153*1.4</f>
        <v>23800000</v>
      </c>
    </row>
    <row r="156" spans="1:3" ht="15.75" thickBot="1" x14ac:dyDescent="0.25">
      <c r="A156" s="172"/>
      <c r="B156" s="173"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155))&gt;6,ROMAN(MID(INT(B155),1,LEN(INT(B155))-6)+0)&amp;" million "&amp;ROMAN(MID(INT(B155),LEN(INT(B155))-5,3)+0)&amp;" ming "&amp;ROMAN(MID(INT(B155),LEN(INT(B155))-2,3)+0),IF(LEN(INT(B155))&gt;3,ROMAN(MID(INT(B155),1,LEN(INT(B155))-3)+0)&amp;" ming "&amp;ROMAN(MID(INT(B155),LEN(INT(B155))-2,3)+0),ROMAN(INT(B155)))),"DCCC","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uch million sakkiz yuz ming so'm</v>
      </c>
    </row>
    <row r="157" spans="1:3" x14ac:dyDescent="0.2">
      <c r="A157" s="276" t="s">
        <v>340</v>
      </c>
      <c r="B157" s="276"/>
    </row>
    <row r="158" spans="1:3" x14ac:dyDescent="0.2">
      <c r="A158" s="3" t="s">
        <v>169</v>
      </c>
      <c r="B158" s="236" t="s">
        <v>401</v>
      </c>
    </row>
    <row r="159" spans="1:3" x14ac:dyDescent="0.2">
      <c r="A159" s="3"/>
      <c r="B159" s="236" t="s">
        <v>401</v>
      </c>
    </row>
    <row r="160" spans="1:3" x14ac:dyDescent="0.2">
      <c r="A160" s="3"/>
      <c r="B160" s="236" t="s">
        <v>401</v>
      </c>
    </row>
    <row r="161" spans="1:4" x14ac:dyDescent="0.2">
      <c r="A161" s="3" t="s">
        <v>456</v>
      </c>
      <c r="B161" s="236" t="s">
        <v>447</v>
      </c>
      <c r="C161" s="262" t="s">
        <v>449</v>
      </c>
    </row>
    <row r="162" spans="1:4" x14ac:dyDescent="0.2">
      <c r="A162" s="3"/>
      <c r="B162" s="236" t="s">
        <v>448</v>
      </c>
    </row>
    <row r="163" spans="1:4" x14ac:dyDescent="0.2">
      <c r="A163" s="3" t="s">
        <v>171</v>
      </c>
      <c r="B163" s="1" t="s">
        <v>170</v>
      </c>
      <c r="D163" s="262" t="s">
        <v>449</v>
      </c>
    </row>
    <row r="164" spans="1:4" ht="28.5" x14ac:dyDescent="0.2">
      <c r="A164" s="3" t="s">
        <v>172</v>
      </c>
      <c r="B164" s="236" t="s">
        <v>403</v>
      </c>
    </row>
    <row r="165" spans="1:4" x14ac:dyDescent="0.2">
      <c r="A165" s="3" t="s">
        <v>173</v>
      </c>
      <c r="B165" s="236" t="s">
        <v>404</v>
      </c>
    </row>
    <row r="166" spans="1:4" x14ac:dyDescent="0.2">
      <c r="A166" s="3" t="s">
        <v>174</v>
      </c>
      <c r="B166" s="236" t="s">
        <v>405</v>
      </c>
    </row>
    <row r="167" spans="1:4" x14ac:dyDescent="0.2">
      <c r="A167" s="3" t="s">
        <v>175</v>
      </c>
      <c r="B167" s="236" t="s">
        <v>406</v>
      </c>
    </row>
    <row r="168" spans="1:4" x14ac:dyDescent="0.2">
      <c r="A168" s="3" t="s">
        <v>176</v>
      </c>
      <c r="B168" s="248" t="s">
        <v>407</v>
      </c>
    </row>
    <row r="169" spans="1:4" x14ac:dyDescent="0.2">
      <c r="A169" s="3" t="s">
        <v>177</v>
      </c>
      <c r="B169" s="236" t="s">
        <v>408</v>
      </c>
    </row>
    <row r="170" spans="1:4" x14ac:dyDescent="0.2">
      <c r="A170" s="3" t="s">
        <v>399</v>
      </c>
      <c r="B170" s="236" t="s">
        <v>409</v>
      </c>
    </row>
    <row r="171" spans="1:4" x14ac:dyDescent="0.2">
      <c r="A171" s="3" t="s">
        <v>451</v>
      </c>
      <c r="B171" s="236" t="s">
        <v>452</v>
      </c>
      <c r="C171" s="265" t="s">
        <v>453</v>
      </c>
    </row>
    <row r="172" spans="1:4" x14ac:dyDescent="0.2">
      <c r="A172" s="3" t="s">
        <v>398</v>
      </c>
      <c r="B172" s="274" t="s">
        <v>434</v>
      </c>
      <c r="C172" s="275"/>
    </row>
    <row r="173" spans="1:4" x14ac:dyDescent="0.2">
      <c r="A173" s="3" t="s">
        <v>178</v>
      </c>
      <c r="B173" s="248" t="s">
        <v>402</v>
      </c>
    </row>
    <row r="174" spans="1:4" x14ac:dyDescent="0.2">
      <c r="A174" s="3" t="s">
        <v>179</v>
      </c>
      <c r="B174" s="248" t="s">
        <v>410</v>
      </c>
    </row>
    <row r="175" spans="1:4" x14ac:dyDescent="0.2">
      <c r="A175" s="3" t="s">
        <v>180</v>
      </c>
      <c r="B175" s="1" t="str">
        <f>B1</f>
        <v>№ 323-BR</v>
      </c>
    </row>
    <row r="176" spans="1:4" x14ac:dyDescent="0.2">
      <c r="A176" s="3" t="s">
        <v>181</v>
      </c>
      <c r="B176" s="4" t="str">
        <f>B70</f>
        <v>7 aprel 2026 y.</v>
      </c>
    </row>
    <row r="177" x14ac:dyDescent="0.2"/>
    <row r="178" x14ac:dyDescent="0.2"/>
  </sheetData>
  <mergeCells count="8">
    <mergeCell ref="B172:C172"/>
    <mergeCell ref="A157:B157"/>
    <mergeCell ref="A104:B104"/>
    <mergeCell ref="A4:B4"/>
    <mergeCell ref="A57:B57"/>
    <mergeCell ref="A64:B64"/>
    <mergeCell ref="A98:B98"/>
    <mergeCell ref="A92:B92"/>
  </mergeCells>
  <dataValidations count="12">
    <dataValidation type="list" allowBlank="1" showInputMessage="1" showErrorMessage="1" sqref="B30">
      <formula1>$C$30:$D$30</formula1>
    </dataValidation>
    <dataValidation type="list" allowBlank="1" showInputMessage="1" showErrorMessage="1" sqref="B100">
      <formula1>$C$100:$D$100</formula1>
    </dataValidation>
    <dataValidation type="list" allowBlank="1" showInputMessage="1" showErrorMessage="1" sqref="B110">
      <formula1>$C$110:$D$110</formula1>
    </dataValidation>
    <dataValidation type="list" allowBlank="1" showInputMessage="1" showErrorMessage="1" sqref="B78">
      <formula1>$C$78:$D$78</formula1>
    </dataValidation>
    <dataValidation type="list" allowBlank="1" showInputMessage="1" showErrorMessage="1" sqref="C136">
      <formula1>$D$136:$E$136</formula1>
    </dataValidation>
    <dataValidation type="list" allowBlank="1" showInputMessage="1" showErrorMessage="1" sqref="B99">
      <formula1>$C$99:$D$99</formula1>
    </dataValidation>
    <dataValidation type="list" allowBlank="1" showInputMessage="1" showErrorMessage="1" sqref="B101">
      <formula1>$C$101:$D$101</formula1>
    </dataValidation>
    <dataValidation type="list" allowBlank="1" showInputMessage="1" showErrorMessage="1" sqref="B23">
      <formula1>$C$23:$D$23</formula1>
    </dataValidation>
    <dataValidation type="list" allowBlank="1" showInputMessage="1" showErrorMessage="1" sqref="B29">
      <formula1>$C$29:$F$29</formula1>
    </dataValidation>
    <dataValidation type="list" allowBlank="1" showInputMessage="1" showErrorMessage="1" sqref="B24">
      <formula1>$C$24:$D$24</formula1>
    </dataValidation>
    <dataValidation type="list" allowBlank="1" showInputMessage="1" showErrorMessage="1" sqref="B84">
      <formula1>$BJ$84:$BK$84</formula1>
    </dataValidation>
    <dataValidation type="list" allowBlank="1" showInputMessage="1" showErrorMessage="1" sqref="B44">
      <formula1>$C$44:$D$44</formula1>
    </dataValidation>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00B050"/>
  </sheetPr>
  <dimension ref="A1:F43"/>
  <sheetViews>
    <sheetView view="pageBreakPreview" zoomScaleSheetLayoutView="100" workbookViewId="0">
      <selection activeCell="A20" sqref="A20:F20"/>
    </sheetView>
  </sheetViews>
  <sheetFormatPr defaultColWidth="9.140625" defaultRowHeight="12.75" x14ac:dyDescent="0.2"/>
  <cols>
    <col min="1" max="6" width="14.28515625" style="21" customWidth="1"/>
    <col min="7" max="16384" width="9.140625" style="21"/>
  </cols>
  <sheetData>
    <row r="1" spans="1:6" x14ac:dyDescent="0.2">
      <c r="A1" s="284" t="s">
        <v>209</v>
      </c>
      <c r="B1" s="284"/>
      <c r="C1" s="284"/>
      <c r="D1" s="284"/>
      <c r="E1" s="284"/>
      <c r="F1" s="284"/>
    </row>
    <row r="2" spans="1:6" ht="35.25" customHeight="1" x14ac:dyDescent="0.2">
      <c r="A2" s="285" t="s">
        <v>315</v>
      </c>
      <c r="B2" s="285"/>
      <c r="C2" s="285"/>
      <c r="D2" s="285"/>
      <c r="E2" s="285"/>
      <c r="F2" s="285"/>
    </row>
    <row r="3" spans="1:6" x14ac:dyDescent="0.2">
      <c r="A3" s="284" t="s">
        <v>210</v>
      </c>
      <c r="B3" s="284"/>
      <c r="C3" s="284"/>
      <c r="D3" s="284"/>
      <c r="E3" s="284"/>
      <c r="F3" s="284"/>
    </row>
    <row r="4" spans="1:6" x14ac:dyDescent="0.2">
      <c r="A4" s="280" t="str">
        <f>'Заключение КК'!A4:E4</f>
        <v>Mijozning to'liq ismi sharifi: ALLAMURODOV MUHAMMAD YOQUB O‘G‘LI</v>
      </c>
      <c r="B4" s="280"/>
      <c r="C4" s="280"/>
      <c r="D4" s="280"/>
      <c r="E4" s="280"/>
      <c r="F4" s="280"/>
    </row>
    <row r="5" spans="1:6" x14ac:dyDescent="0.2">
      <c r="A5" s="280" t="str">
        <f>'Заключение КК'!A5:E5</f>
        <v>Tug'ilgan sanasi: 24.05.1993 y</v>
      </c>
      <c r="B5" s="280"/>
      <c r="C5" s="280"/>
      <c r="D5" s="280"/>
      <c r="E5" s="280"/>
      <c r="F5" s="280"/>
    </row>
    <row r="6" spans="1:6" ht="32.25" customHeight="1" x14ac:dyDescent="0.2">
      <c r="A6" s="280" t="str">
        <f>'Заключение КК'!A6:E6</f>
        <v>Pasport seriyasi AD 9213848  IIV 61013  tomonidan 31.10.2024 yilda berilgan, amal qilish muddati - 30.10.2034 y.</v>
      </c>
      <c r="B6" s="280"/>
      <c r="C6" s="280"/>
      <c r="D6" s="280"/>
      <c r="E6" s="280"/>
      <c r="F6" s="280"/>
    </row>
    <row r="7" spans="1:6" x14ac:dyDescent="0.2">
      <c r="A7" s="280" t="str">
        <f>"Fuqaroligi: "&amp;'Общие данные'!B32&amp;""</f>
        <v>Fuqaroligi: O’zbekiston Respublikasi</v>
      </c>
      <c r="B7" s="280"/>
      <c r="C7" s="280"/>
      <c r="D7" s="280"/>
      <c r="E7" s="280"/>
      <c r="F7" s="280"/>
    </row>
    <row r="8" spans="1:6" ht="26.25" customHeight="1" x14ac:dyDescent="0.2">
      <c r="A8" s="280" t="str">
        <f>'Заключение КК'!A7:E7</f>
        <v>Ro‘yxatdan o‘tgan manzili: BUXORO VILOYATI KOGON TUMANI SORG'UN MFY PARAKATI QQ 22-UY, mo'ljal: 7-MAKTAB</v>
      </c>
      <c r="B8" s="280"/>
      <c r="C8" s="280"/>
      <c r="D8" s="280"/>
      <c r="E8" s="280"/>
      <c r="F8" s="280"/>
    </row>
    <row r="9" spans="1:6" x14ac:dyDescent="0.2">
      <c r="A9" s="280" t="str">
        <f>IF('Общие данные'!B23="mos keladi"," ",'Анкета Клиента'!A10:F10)</f>
        <v xml:space="preserve"> </v>
      </c>
      <c r="B9" s="280"/>
      <c r="C9" s="280"/>
      <c r="D9" s="280"/>
      <c r="E9" s="280"/>
      <c r="F9" s="280"/>
    </row>
    <row r="10" spans="1:6" ht="31.5" hidden="1" customHeight="1" x14ac:dyDescent="0.2">
      <c r="A10" s="280" t="str">
        <f>"Haqiqatdan yashash joy manzili: "&amp;'Общие данные'!B28&amp;""</f>
        <v>Haqiqatdan yashash joy manzili: BUXORO VILOYATI KOGON TUMANI SORG'UN MFY PARAKATI QQ 22-UY</v>
      </c>
      <c r="B10" s="280"/>
      <c r="C10" s="280"/>
      <c r="D10" s="280"/>
      <c r="E10" s="280"/>
      <c r="F10" s="280"/>
    </row>
    <row r="11" spans="1:6" ht="16.5" hidden="1" customHeight="1" x14ac:dyDescent="0.2">
      <c r="A11" s="280" t="str">
        <f>'Заключение КК'!A8:E8</f>
        <v>Ish joyi:  lavozimi Йўловчиларни енгил автотранспорт воситаларида ташишda O'Z O'ZINI BAND QILGAN FUQARO MA'LUMOTNOMA № № 0013114001</v>
      </c>
      <c r="B11" s="280"/>
      <c r="C11" s="280"/>
      <c r="D11" s="280"/>
      <c r="E11" s="280"/>
      <c r="F11" s="280"/>
    </row>
    <row r="12" spans="1:6" x14ac:dyDescent="0.2">
      <c r="A12" s="284" t="s">
        <v>211</v>
      </c>
      <c r="B12" s="284"/>
      <c r="C12" s="284"/>
      <c r="D12" s="284"/>
      <c r="E12" s="284"/>
      <c r="F12" s="284"/>
    </row>
    <row r="13" spans="1:6" x14ac:dyDescent="0.2">
      <c r="A13" s="280" t="str">
        <f>"Uy telefoni raqami: "&amp;'Общие данные'!B40&amp;""</f>
        <v>Uy telefoni raqami: 93 137 50 56 KLIENT</v>
      </c>
      <c r="B13" s="280"/>
      <c r="C13" s="280"/>
      <c r="D13" s="280"/>
      <c r="E13" s="280"/>
      <c r="F13" s="280"/>
    </row>
    <row r="14" spans="1:6" x14ac:dyDescent="0.2">
      <c r="A14" s="280" t="str">
        <f>"Uyali telefon raqami: "&amp;'Общие данные'!B41&amp;""</f>
        <v>Uyali telefon raqami: 91 247 01 98 UKASI</v>
      </c>
      <c r="B14" s="280"/>
      <c r="C14" s="280"/>
      <c r="D14" s="280"/>
      <c r="E14" s="280"/>
      <c r="F14" s="280"/>
    </row>
    <row r="15" spans="1:6" x14ac:dyDescent="0.2">
      <c r="A15" s="280" t="str">
        <f>"Uyali telefon raqami: "&amp;'Общие данные'!B42&amp;""</f>
        <v>Uyali telefon raqami: 93 392 24 05 AYOLI</v>
      </c>
      <c r="B15" s="280"/>
      <c r="C15" s="280"/>
      <c r="D15" s="280"/>
      <c r="E15" s="280"/>
      <c r="F15" s="280"/>
    </row>
    <row r="16" spans="1:6" hidden="1" x14ac:dyDescent="0.2">
      <c r="A16" s="280" t="str">
        <f>"Uyali telefon raqami: "&amp;'Общие данные'!B42&amp;""</f>
        <v>Uyali telefon raqami: 93 392 24 05 AYOLI</v>
      </c>
      <c r="B16" s="280"/>
      <c r="C16" s="280"/>
      <c r="D16" s="280"/>
      <c r="E16" s="280"/>
      <c r="F16" s="280"/>
    </row>
    <row r="17" spans="1:6" x14ac:dyDescent="0.2">
      <c r="A17" s="280" t="str">
        <f>"Ish telefoni raqami: "&amp;'Общие данные'!B43&amp;""</f>
        <v xml:space="preserve">Ish telefoni raqami: </v>
      </c>
      <c r="B17" s="280"/>
      <c r="C17" s="280"/>
      <c r="D17" s="280"/>
      <c r="E17" s="280"/>
      <c r="F17" s="280"/>
    </row>
    <row r="18" spans="1:6" x14ac:dyDescent="0.2">
      <c r="A18" s="284" t="s">
        <v>212</v>
      </c>
      <c r="B18" s="284"/>
      <c r="C18" s="284"/>
      <c r="D18" s="284"/>
      <c r="E18" s="284"/>
      <c r="F18" s="284"/>
    </row>
    <row r="19" spans="1:6" x14ac:dyDescent="0.2">
      <c r="A19" s="280" t="str">
        <f>"Muassasa nomlanishi:"&amp;'Общие данные'!B58&amp;""</f>
        <v>Muassasa nomlanishi:O'Z O'ZINI BAND QILGAN FUQARO MA'LUMOTNOMA № № 0013114001</v>
      </c>
      <c r="B19" s="280"/>
      <c r="C19" s="280"/>
      <c r="D19" s="280"/>
      <c r="E19" s="280"/>
      <c r="F19" s="280"/>
    </row>
    <row r="20" spans="1:6" x14ac:dyDescent="0.2">
      <c r="A20" s="280" t="str">
        <f>"Ro‘yxatdan o‘tish manzili:"&amp;'Общие данные'!B50&amp;""</f>
        <v>Ro‘yxatdan o‘tish manzili:Бухоро вилояти Когон тумани</v>
      </c>
      <c r="B20" s="280"/>
      <c r="C20" s="280"/>
      <c r="D20" s="280"/>
      <c r="E20" s="280"/>
      <c r="F20" s="280"/>
    </row>
    <row r="21" spans="1:6" x14ac:dyDescent="0.2">
      <c r="A21" s="280" t="str">
        <f>"Lavozimi: "&amp;'Общие данные'!B48&amp;""</f>
        <v>Lavozimi: Йўловчиларни енгил автотранспорт воситаларида ташиш</v>
      </c>
      <c r="B21" s="280"/>
      <c r="C21" s="280"/>
      <c r="D21" s="280"/>
      <c r="E21" s="280"/>
      <c r="F21" s="280"/>
    </row>
    <row r="22" spans="1:6" x14ac:dyDescent="0.2">
      <c r="A22" s="284" t="s">
        <v>213</v>
      </c>
      <c r="B22" s="281"/>
      <c r="C22" s="281"/>
      <c r="D22" s="281"/>
      <c r="E22" s="281"/>
      <c r="F22" s="281"/>
    </row>
    <row r="23" spans="1:6" s="23" customFormat="1" ht="25.5" x14ac:dyDescent="0.25">
      <c r="A23" s="22" t="s">
        <v>214</v>
      </c>
      <c r="B23" s="22" t="s">
        <v>215</v>
      </c>
      <c r="C23" s="22" t="s">
        <v>216</v>
      </c>
      <c r="D23" s="22" t="s">
        <v>217</v>
      </c>
      <c r="E23" s="22" t="s">
        <v>218</v>
      </c>
      <c r="F23" s="22" t="s">
        <v>219</v>
      </c>
    </row>
    <row r="24" spans="1:6" ht="51" x14ac:dyDescent="0.2">
      <c r="A24" s="24" t="s">
        <v>220</v>
      </c>
      <c r="B24" s="25">
        <f>'Общие данные'!B60</f>
        <v>8000000</v>
      </c>
      <c r="C24" s="25">
        <v>0</v>
      </c>
      <c r="D24" s="25">
        <v>0</v>
      </c>
      <c r="E24" s="24" t="s">
        <v>223</v>
      </c>
      <c r="F24" s="25">
        <v>700000</v>
      </c>
    </row>
    <row r="25" spans="1:6" ht="25.5" x14ac:dyDescent="0.2">
      <c r="A25" s="24" t="s">
        <v>221</v>
      </c>
      <c r="B25" s="25">
        <v>0</v>
      </c>
      <c r="C25" s="25">
        <v>0</v>
      </c>
      <c r="D25" s="25">
        <v>0</v>
      </c>
      <c r="E25" s="24" t="s">
        <v>224</v>
      </c>
      <c r="F25" s="25">
        <v>500000</v>
      </c>
    </row>
    <row r="26" spans="1:6" ht="28.5" customHeight="1" x14ac:dyDescent="0.2">
      <c r="A26" s="24" t="s">
        <v>222</v>
      </c>
      <c r="B26" s="25">
        <f>'Общие данные'!B61</f>
        <v>5000000</v>
      </c>
      <c r="C26" s="25">
        <v>0</v>
      </c>
      <c r="D26" s="25">
        <v>0</v>
      </c>
      <c r="E26" s="24" t="s">
        <v>225</v>
      </c>
      <c r="F26" s="25">
        <v>600000</v>
      </c>
    </row>
    <row r="27" spans="1:6" s="28" customFormat="1" x14ac:dyDescent="0.2">
      <c r="A27" s="26" t="s">
        <v>201</v>
      </c>
      <c r="B27" s="27">
        <f>B24+B25+B26</f>
        <v>13000000</v>
      </c>
      <c r="C27" s="27">
        <f t="shared" ref="C27:F27" si="0">SUM(C24:C26)</f>
        <v>0</v>
      </c>
      <c r="D27" s="27">
        <f t="shared" si="0"/>
        <v>0</v>
      </c>
      <c r="E27" s="26"/>
      <c r="F27" s="27">
        <f t="shared" si="0"/>
        <v>1800000</v>
      </c>
    </row>
    <row r="28" spans="1:6" ht="31.5" customHeight="1" x14ac:dyDescent="0.2">
      <c r="A28" s="280" t="str">
        <f>"Men, "&amp;'Общие данные'!B5&amp;", ushbu anketada ko‘rsatilgan barcha ma'lumotlar anketa to'ldirilgan sanada  to'g'ri va aniq ekanligini tasdiqlayman."</f>
        <v>Men, ALLAMURODOV MUHAMMAD YOQUB O‘G‘LI, ushbu anketada ko‘rsatilgan barcha ma'lumotlar anketa to'ldirilgan sanada  to'g'ri va aniq ekanligini tasdiqlayman.</v>
      </c>
      <c r="B28" s="280"/>
      <c r="C28" s="280"/>
      <c r="D28" s="280"/>
      <c r="E28" s="280"/>
      <c r="F28" s="280"/>
    </row>
    <row r="29" spans="1:6" x14ac:dyDescent="0.2">
      <c r="A29" s="280" t="str">
        <f>"Men,  "&amp;'Общие данные'!B5&amp;", quyidagilarni tan olaman va roziman::"</f>
        <v>Men,  ALLAMURODOV MUHAMMAD YOQUB O‘G‘LI, quyidagilarni tan olaman va roziman::</v>
      </c>
      <c r="B29" s="280"/>
      <c r="C29" s="280"/>
      <c r="D29" s="280"/>
      <c r="E29" s="280"/>
      <c r="F29" s="280"/>
    </row>
    <row r="30" spans="1:6" ht="45.75" customHeight="1" x14ac:dyDescent="0.2">
      <c r="A30" s="280" t="str">
        <f>"1.  Ushbu anketada ko‘rsatilgan har qanday ma’lumot  "&amp;'Общие данные'!B158&amp;",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80"/>
      <c r="C30" s="280"/>
      <c r="D30" s="280"/>
      <c r="E30" s="280"/>
      <c r="F30" s="280"/>
    </row>
    <row r="31" spans="1:6" ht="42.75" customHeight="1" x14ac:dyDescent="0.2">
      <c r="A31" s="280" t="str">
        <f>"2. Mazkur anketaning "&amp;'Общие данные'!B158&amp;" tomonidan qabul qilinishi  "&amp;'Общие данные'!B158&amp;" tomonidan menga "&amp;'Общие данные'!B65&amp;" berish majburiyatini yuklamaydi."</f>
        <v>2. Mazkur anketaning «PULLOL BUSINESS MIKROMOLIYA TASHKILOTI»  MChJ tomonidan qabul qilinishi  «PULLOL BUSINESS MIKROMOLIYA TASHKILOTI»  MChJ tomonidan menga mikroqarz berish majburiyatini yuklamaydi.</v>
      </c>
      <c r="B31" s="280"/>
      <c r="C31" s="280"/>
      <c r="D31" s="280"/>
      <c r="E31" s="280"/>
      <c r="F31" s="280"/>
    </row>
    <row r="32" spans="1:6" ht="71.25" customHeight="1" x14ac:dyDescent="0.2">
      <c r="A32" s="280" t="s">
        <v>226</v>
      </c>
      <c r="B32" s="280"/>
      <c r="C32" s="280"/>
      <c r="D32" s="280"/>
      <c r="E32" s="280"/>
      <c r="F32" s="280"/>
    </row>
    <row r="33" spans="1:6" x14ac:dyDescent="0.2">
      <c r="A33" s="280"/>
      <c r="B33" s="280"/>
      <c r="C33" s="280"/>
      <c r="D33" s="280"/>
      <c r="E33" s="280"/>
      <c r="F33" s="280"/>
    </row>
    <row r="34" spans="1:6" ht="12.75" customHeight="1" x14ac:dyDescent="0.2">
      <c r="A34" s="281" t="s">
        <v>227</v>
      </c>
      <c r="B34" s="281"/>
      <c r="C34" s="281"/>
      <c r="D34" s="137" t="s">
        <v>152</v>
      </c>
      <c r="E34" s="281" t="s">
        <v>228</v>
      </c>
      <c r="F34" s="281"/>
    </row>
    <row r="35" spans="1:6" ht="25.5" customHeight="1" x14ac:dyDescent="0.2">
      <c r="A35" s="282"/>
      <c r="B35" s="282"/>
      <c r="C35" s="282"/>
      <c r="D35" s="283" t="str">
        <f>'Общие данные'!B2</f>
        <v>07.04.2026</v>
      </c>
      <c r="E35" s="282"/>
      <c r="F35" s="282"/>
    </row>
    <row r="36" spans="1:6" ht="25.5" customHeight="1" x14ac:dyDescent="0.2">
      <c r="A36" s="282"/>
      <c r="B36" s="282"/>
      <c r="C36" s="282"/>
      <c r="D36" s="283"/>
      <c r="E36" s="282"/>
      <c r="F36" s="282"/>
    </row>
    <row r="37" spans="1:6" x14ac:dyDescent="0.2">
      <c r="A37" s="280"/>
      <c r="B37" s="280"/>
      <c r="C37" s="280"/>
      <c r="D37" s="280"/>
      <c r="E37" s="280"/>
      <c r="F37" s="280"/>
    </row>
    <row r="38" spans="1:6" x14ac:dyDescent="0.2">
      <c r="A38" s="280"/>
      <c r="B38" s="280"/>
      <c r="C38" s="280"/>
      <c r="D38" s="280"/>
      <c r="E38" s="280"/>
      <c r="F38" s="280"/>
    </row>
    <row r="39" spans="1:6" x14ac:dyDescent="0.2">
      <c r="A39" s="280"/>
      <c r="B39" s="280"/>
      <c r="C39" s="280"/>
      <c r="D39" s="280"/>
      <c r="E39" s="280"/>
      <c r="F39" s="280"/>
    </row>
    <row r="40" spans="1:6" x14ac:dyDescent="0.2">
      <c r="A40" s="280"/>
      <c r="B40" s="280"/>
      <c r="C40" s="280"/>
      <c r="D40" s="280"/>
      <c r="E40" s="280"/>
      <c r="F40" s="280"/>
    </row>
    <row r="41" spans="1:6" x14ac:dyDescent="0.2">
      <c r="A41" s="280"/>
      <c r="B41" s="280"/>
      <c r="C41" s="280"/>
      <c r="D41" s="280"/>
      <c r="E41" s="280"/>
      <c r="F41" s="280"/>
    </row>
    <row r="42" spans="1:6" x14ac:dyDescent="0.2">
      <c r="A42" s="280"/>
      <c r="B42" s="280"/>
      <c r="C42" s="280"/>
      <c r="D42" s="280"/>
      <c r="E42" s="280"/>
      <c r="F42" s="280"/>
    </row>
    <row r="43" spans="1:6" x14ac:dyDescent="0.2">
      <c r="A43" s="280"/>
      <c r="B43" s="280"/>
      <c r="C43" s="280"/>
      <c r="D43" s="280"/>
      <c r="E43" s="280"/>
      <c r="F43" s="280"/>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00B050"/>
  </sheetPr>
  <dimension ref="A2:H33"/>
  <sheetViews>
    <sheetView view="pageBreakPreview" zoomScaleNormal="100" zoomScaleSheetLayoutView="100" workbookViewId="0">
      <selection activeCell="I16" sqref="I16"/>
    </sheetView>
  </sheetViews>
  <sheetFormatPr defaultColWidth="9.140625" defaultRowHeight="15.75" x14ac:dyDescent="0.25"/>
  <cols>
    <col min="1" max="2" width="17.42578125" style="112" customWidth="1"/>
    <col min="3" max="3" width="29.85546875" style="112" customWidth="1"/>
    <col min="4" max="4" width="18.140625" style="112" customWidth="1"/>
    <col min="5" max="5" width="6.5703125" style="112" customWidth="1"/>
    <col min="6" max="16384" width="9.140625" style="112"/>
  </cols>
  <sheetData>
    <row r="2" spans="1:5" x14ac:dyDescent="0.25">
      <c r="A2" s="286" t="s">
        <v>229</v>
      </c>
      <c r="B2" s="286"/>
      <c r="C2" s="286"/>
      <c r="D2" s="286"/>
      <c r="E2" s="286"/>
    </row>
    <row r="3" spans="1:5" x14ac:dyDescent="0.25">
      <c r="E3" s="111" t="str">
        <f>'Общие данные'!B68</f>
        <v>7 aprel 2026 y.</v>
      </c>
    </row>
    <row r="5" spans="1:5" s="113" customFormat="1" ht="27" customHeight="1" x14ac:dyDescent="0.25">
      <c r="A5" s="290" t="s">
        <v>230</v>
      </c>
      <c r="B5" s="291"/>
      <c r="C5" s="287" t="str">
        <f>'Общие данные'!B8</f>
        <v>ALLAMURODOV MUHAMMAD YOQUB O‘G‘LI</v>
      </c>
      <c r="D5" s="288"/>
      <c r="E5" s="289"/>
    </row>
    <row r="7" spans="1:5" ht="15.75" customHeight="1" x14ac:dyDescent="0.25">
      <c r="A7" s="292" t="s">
        <v>341</v>
      </c>
      <c r="B7" s="293"/>
      <c r="C7" s="294"/>
      <c r="D7" s="114" t="s">
        <v>127</v>
      </c>
      <c r="E7" s="114"/>
    </row>
    <row r="8" spans="1:5" x14ac:dyDescent="0.25">
      <c r="A8" s="295"/>
      <c r="B8" s="296"/>
      <c r="C8" s="297"/>
      <c r="D8" s="114" t="s">
        <v>234</v>
      </c>
      <c r="E8" s="114"/>
    </row>
    <row r="9" spans="1:5" ht="15.75" customHeight="1" x14ac:dyDescent="0.25">
      <c r="A9" s="298" t="s">
        <v>231</v>
      </c>
      <c r="B9" s="298"/>
      <c r="C9" s="298"/>
      <c r="D9" s="114" t="s">
        <v>127</v>
      </c>
      <c r="E9" s="114"/>
    </row>
    <row r="10" spans="1:5" x14ac:dyDescent="0.25">
      <c r="A10" s="298"/>
      <c r="B10" s="298"/>
      <c r="C10" s="298"/>
      <c r="D10" s="114" t="s">
        <v>234</v>
      </c>
      <c r="E10" s="114"/>
    </row>
    <row r="11" spans="1:5" ht="15.75" customHeight="1" x14ac:dyDescent="0.25">
      <c r="A11" s="298" t="s">
        <v>232</v>
      </c>
      <c r="B11" s="298"/>
      <c r="C11" s="298"/>
      <c r="D11" s="114" t="s">
        <v>127</v>
      </c>
      <c r="E11" s="114"/>
    </row>
    <row r="12" spans="1:5" x14ac:dyDescent="0.25">
      <c r="A12" s="298"/>
      <c r="B12" s="298"/>
      <c r="C12" s="298"/>
      <c r="D12" s="114" t="s">
        <v>234</v>
      </c>
      <c r="E12" s="114"/>
    </row>
    <row r="13" spans="1:5" ht="34.5" customHeight="1" x14ac:dyDescent="0.25">
      <c r="A13" s="299" t="s">
        <v>233</v>
      </c>
      <c r="B13" s="299"/>
      <c r="C13" s="299"/>
      <c r="D13" s="299"/>
      <c r="E13" s="299"/>
    </row>
    <row r="14" spans="1:5" ht="16.5" thickBot="1" x14ac:dyDescent="0.3">
      <c r="A14" s="300"/>
      <c r="B14" s="300"/>
      <c r="C14" s="300"/>
      <c r="D14" s="300"/>
      <c r="E14" s="300"/>
    </row>
    <row r="15" spans="1:5" ht="16.5" thickBot="1" x14ac:dyDescent="0.3">
      <c r="A15" s="300"/>
      <c r="B15" s="300"/>
      <c r="C15" s="300"/>
      <c r="D15" s="300"/>
      <c r="E15" s="300"/>
    </row>
    <row r="16" spans="1:5" ht="16.5" thickBot="1" x14ac:dyDescent="0.3">
      <c r="A16" s="300"/>
      <c r="B16" s="300"/>
      <c r="C16" s="300"/>
      <c r="D16" s="300"/>
      <c r="E16" s="300"/>
    </row>
    <row r="18" spans="1:8" ht="18.75" customHeight="1" x14ac:dyDescent="0.25">
      <c r="A18" s="298" t="s">
        <v>235</v>
      </c>
      <c r="B18" s="298"/>
      <c r="C18" s="298"/>
      <c r="D18" s="114" t="s">
        <v>127</v>
      </c>
      <c r="E18" s="114"/>
    </row>
    <row r="19" spans="1:8" ht="18.75" customHeight="1" x14ac:dyDescent="0.25">
      <c r="A19" s="298"/>
      <c r="B19" s="298"/>
      <c r="C19" s="298"/>
      <c r="D19" s="114" t="s">
        <v>234</v>
      </c>
      <c r="E19" s="114"/>
    </row>
    <row r="20" spans="1:8" ht="29.25" customHeight="1" x14ac:dyDescent="0.25">
      <c r="A20" s="298" t="s">
        <v>236</v>
      </c>
      <c r="B20" s="298"/>
      <c r="C20" s="298"/>
      <c r="D20" s="114" t="s">
        <v>127</v>
      </c>
      <c r="E20" s="114"/>
    </row>
    <row r="21" spans="1:8" ht="29.25" customHeight="1" x14ac:dyDescent="0.25">
      <c r="A21" s="298"/>
      <c r="B21" s="298"/>
      <c r="C21" s="298"/>
      <c r="D21" s="114" t="s">
        <v>234</v>
      </c>
      <c r="E21" s="114"/>
    </row>
    <row r="23" spans="1:8" ht="15.75" customHeight="1" x14ac:dyDescent="0.25">
      <c r="A23" s="299" t="s">
        <v>237</v>
      </c>
      <c r="B23" s="299"/>
      <c r="C23" s="299"/>
      <c r="D23" s="299"/>
      <c r="E23" s="299"/>
    </row>
    <row r="24" spans="1:8" ht="16.5" thickBot="1" x14ac:dyDescent="0.3">
      <c r="A24" s="300"/>
      <c r="B24" s="300"/>
      <c r="C24" s="300"/>
      <c r="D24" s="300"/>
      <c r="E24" s="300"/>
    </row>
    <row r="25" spans="1:8" ht="16.5" thickBot="1" x14ac:dyDescent="0.3">
      <c r="A25" s="300"/>
      <c r="B25" s="300"/>
      <c r="C25" s="300"/>
      <c r="D25" s="300"/>
      <c r="E25" s="300"/>
    </row>
    <row r="26" spans="1:8" ht="16.5" thickBot="1" x14ac:dyDescent="0.3">
      <c r="A26" s="300"/>
      <c r="B26" s="300"/>
      <c r="C26" s="300"/>
      <c r="D26" s="300"/>
      <c r="E26" s="300"/>
    </row>
    <row r="28" spans="1:8" ht="78.75" customHeight="1" x14ac:dyDescent="0.25">
      <c r="A28" s="301" t="s">
        <v>238</v>
      </c>
      <c r="B28" s="301"/>
      <c r="C28" s="301"/>
      <c r="D28" s="301"/>
      <c r="E28" s="301"/>
    </row>
    <row r="30" spans="1:8" ht="33" customHeight="1" x14ac:dyDescent="0.25">
      <c r="A30" s="301" t="s">
        <v>239</v>
      </c>
      <c r="B30" s="301"/>
      <c r="C30" s="301"/>
      <c r="D30" s="301"/>
      <c r="E30" s="301"/>
      <c r="F30" s="115"/>
      <c r="G30" s="115"/>
      <c r="H30" s="115"/>
    </row>
    <row r="33" spans="1:5" ht="16.5" thickBot="1" x14ac:dyDescent="0.3">
      <c r="A33" s="116" t="str">
        <f>C5</f>
        <v>ALLAMURODOV MUHAMMAD YOQUB O‘G‘LI</v>
      </c>
      <c r="D33" s="117"/>
      <c r="E33" s="11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tabColor rgb="FF00B050"/>
  </sheetPr>
  <dimension ref="A1:E78"/>
  <sheetViews>
    <sheetView view="pageBreakPreview" zoomScaleSheetLayoutView="100" workbookViewId="0">
      <selection activeCell="A29" sqref="A29:D29"/>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54" customHeight="1" x14ac:dyDescent="0.25">
      <c r="C1" s="307" t="str">
        <f>""&amp;'Общие данные'!B158&amp;"ning
"&amp;'Общие данные'!A171&amp;""</f>
        <v>«PULLOL BUSINESS MIKROMOLIYA TASHKILOTI»  MChJning
Buxoro filiali boshlig’i</v>
      </c>
      <c r="D1" s="307"/>
    </row>
    <row r="2" spans="1:4" x14ac:dyDescent="0.25">
      <c r="C2" s="11"/>
      <c r="D2" s="12" t="str">
        <f>""&amp;'Общие данные'!C171&amp;"ga"</f>
        <v>B.A.Ikromovga</v>
      </c>
    </row>
    <row r="3" spans="1:4" hidden="1" x14ac:dyDescent="0.25"/>
    <row r="4" spans="1:4" x14ac:dyDescent="0.25">
      <c r="A4" s="306" t="str">
        <f>""&amp;'Общие данные'!C64&amp;" olish uchun Ariza"</f>
        <v>Mikroqarz olish uchun Ariza</v>
      </c>
      <c r="B4" s="306"/>
      <c r="C4" s="306"/>
      <c r="D4" s="306"/>
    </row>
    <row r="5" spans="1:4" ht="11.25" hidden="1" customHeight="1" x14ac:dyDescent="0.25">
      <c r="A5" s="306"/>
      <c r="B5" s="306"/>
      <c r="C5" s="306"/>
      <c r="D5" s="306"/>
    </row>
    <row r="6" spans="1:4" ht="48.75" customHeight="1" x14ac:dyDescent="0.25">
      <c r="A6" s="304" t="str">
        <f>""&amp;'Общие данные'!B28&amp;".-da yashovchi O‘zbekiston Respublikasi fuqarosi "&amp;'Общие данные'!B8&amp;"dan. "</f>
        <v xml:space="preserve">BUXORO VILOYATI KOGON TUMANI SORG'UN MFY PARAKATI QQ 22-UY.-da yashovchi O‘zbekiston Respublikasi fuqarosi ALLAMURODOV MUHAMMAD YOQUB O‘G‘LIdan. </v>
      </c>
      <c r="B6" s="304"/>
      <c r="C6" s="304"/>
      <c r="D6" s="304"/>
    </row>
    <row r="7" spans="1:4" ht="15.75" customHeight="1" x14ac:dyDescent="0.25">
      <c r="A7" s="302" t="str">
        <f>"Tug'ilgan kuni: "&amp;'Общие данные'!B15&amp;""</f>
        <v>Tug'ilgan kuni: 24.05.1993 y</v>
      </c>
      <c r="B7" s="302"/>
      <c r="C7" s="302"/>
      <c r="D7" s="302"/>
    </row>
    <row r="8" spans="1:4" ht="33" customHeight="1" x14ac:dyDescent="0.25">
      <c r="A8" s="302" t="str">
        <f>"Pasport seriyasi: "&amp;'Общие данные'!B16&amp;" "&amp;'Общие данные'!B20&amp;""</f>
        <v>Pasport seriyasi: AD 9213848  IIV 61013  tomonidan 31.10.2024 yilda berilgan</v>
      </c>
      <c r="B8" s="302"/>
      <c r="C8" s="302"/>
      <c r="D8" s="302"/>
    </row>
    <row r="9" spans="1:4" ht="16.5" customHeight="1" x14ac:dyDescent="0.25">
      <c r="A9" s="302" t="str">
        <f>"Asosiy ish joyi : "&amp;'Общие данные'!B58&amp;""</f>
        <v>Asosiy ish joyi : O'Z O'ZINI BAND QILGAN FUQARO MA'LUMOTNOMA № № 0013114001</v>
      </c>
      <c r="B9" s="302"/>
      <c r="C9" s="302"/>
      <c r="D9" s="302"/>
    </row>
    <row r="10" spans="1:4" ht="15.75" customHeight="1" x14ac:dyDescent="0.25">
      <c r="A10" s="302" t="str">
        <f>"Lavozimi: "&amp;'Общие данные'!B59&amp;""</f>
        <v>Lavozimi: Йўловчиларни енгил автотранспорт воситаларида ташиш</v>
      </c>
      <c r="B10" s="302"/>
      <c r="C10" s="302"/>
      <c r="D10" s="302"/>
    </row>
    <row r="11" spans="1:4" x14ac:dyDescent="0.25">
      <c r="A11" s="302" t="str">
        <f>"O’rtacha oylik daromadi: "&amp;FIXED('Анкета Клиента'!B27,2)&amp;" so'm."</f>
        <v>O’rtacha oylik daromadi: 13 000 000,00 so'm.</v>
      </c>
      <c r="B11" s="302"/>
      <c r="C11" s="302"/>
      <c r="D11" s="302"/>
    </row>
    <row r="12" spans="1:4" x14ac:dyDescent="0.25">
      <c r="A12" s="302" t="str">
        <f>"Menga quyidagi shartlarda "&amp;'Общие данные'!B65&amp;" berishingizni so’rayman:"</f>
        <v>Menga quyidagi shartlarda mikroqarz berishingizni so’rayman:</v>
      </c>
      <c r="B12" s="302"/>
      <c r="C12" s="302"/>
      <c r="D12" s="302"/>
    </row>
    <row r="13" spans="1:4" x14ac:dyDescent="0.25">
      <c r="A13" s="302" t="str">
        <f>""&amp;'Общие данные'!C64&amp;" summasi: "&amp;FIXED('Общие данные'!B76,2)&amp;" ("&amp;'Общие данные'!B77&amp;") so'm."</f>
        <v>Mikroqarz summasi: 52 000 000,00 (ellik ikki million so'm) so'm.</v>
      </c>
      <c r="B13" s="302"/>
      <c r="C13" s="302"/>
      <c r="D13" s="302"/>
    </row>
    <row r="14" spans="1:4" x14ac:dyDescent="0.25">
      <c r="A14" s="302" t="str">
        <f>""&amp;'Общие данные'!C64&amp;" muddati: "&amp;'Общие данные'!B82&amp;" ("&amp;'Общие данные'!B83&amp;") oy."</f>
        <v>Mikroqarz muddati: 36 (O'ttiz olti  ) oy.</v>
      </c>
      <c r="B14" s="302"/>
      <c r="C14" s="302"/>
      <c r="D14" s="302"/>
    </row>
    <row r="15" spans="1:4" ht="17.25" customHeight="1" x14ac:dyDescent="0.25">
      <c r="A15" s="302" t="str">
        <f>""&amp;'Общие данные'!C64&amp;"dan foydalanganlik uchun foiz stavkasi: yillik  "&amp;'Общие данные'!B86&amp;"% ("&amp;'Общие данные'!B87&amp;") foiz"</f>
        <v>Mikroqarzdan foydalanganlik uchun foiz stavkasi: yillik  55% (Ellik besh  ) foiz</v>
      </c>
      <c r="B15" s="302"/>
      <c r="C15" s="302"/>
      <c r="D15" s="302"/>
    </row>
    <row r="16" spans="1:4" x14ac:dyDescent="0.25">
      <c r="A16" s="302" t="str">
        <f>""&amp;'Общие данные'!C64&amp;" bo'yicha asosiy qarz va foizlarni to'lash:"</f>
        <v>Mikroqarz bo'yicha asosiy qarz va foizlarni to'lash:</v>
      </c>
      <c r="B16" s="302"/>
      <c r="C16" s="302"/>
      <c r="D16" s="302"/>
    </row>
    <row r="17" spans="1:5" ht="20.25" hidden="1" customHeight="1" x14ac:dyDescent="0.25">
      <c r="A17" s="304" t="str">
        <f>" - "&amp;'Общие данные'!B65&amp;" shartnomasi bo'yicha har oy differensial to'lovlari amalga oshiriladi"</f>
        <v xml:space="preserve"> - mikroqarz shartnomasi bo'yicha har oy differensial to'lovlari amalga oshiriladi</v>
      </c>
      <c r="B17" s="304"/>
      <c r="C17" s="304"/>
      <c r="D17" s="304"/>
    </row>
    <row r="18" spans="1:5" ht="33.75" hidden="1" customHeight="1" x14ac:dyDescent="0.25">
      <c r="A18" s="304" t="str">
        <f>" - "&amp;'Общие данные'!B65&amp;" shartnomasi bo'yicha har oy annuitet to'lovlari amalga oshiriladi"</f>
        <v xml:space="preserve"> - mikroqarz shartnomasi bo'yicha har oy annuitet to'lovlari amalga oshiriladi</v>
      </c>
      <c r="B18" s="304"/>
      <c r="C18" s="304"/>
      <c r="D18" s="304"/>
    </row>
    <row r="19" spans="1:5" ht="21.75" customHeight="1" x14ac:dyDescent="0.25">
      <c r="A19" s="304" t="str">
        <f>IF('Общие данные'!B78='Общие данные'!C78,'Кредитная заявка'!A17:D17,IF('Общие данные'!B78='Общие данные'!D78,'Кредитная заявка'!A18:D18))</f>
        <v xml:space="preserve"> - mikroqarz shartnomasi bo'yicha har oy differensial to'lovlari amalga oshiriladi</v>
      </c>
      <c r="B19" s="304"/>
      <c r="C19" s="304"/>
      <c r="D19" s="304"/>
    </row>
    <row r="20" spans="1:5" ht="33.75" hidden="1" customHeight="1" x14ac:dyDescent="0.25">
      <c r="A20" s="302" t="str">
        <f>IF(DAY('Общие данные'!E67)&lt;15,"   ","  Oxirgi yakuniy to'lov "&amp;'Общие данные'!B65&amp;" shartnomasi tuzilgan kundan boshlab oxirgi oyning oxirgi kunida amalga oshiriladi")</f>
        <v xml:space="preserve">   </v>
      </c>
      <c r="B20" s="302"/>
      <c r="C20" s="302"/>
      <c r="D20" s="302"/>
    </row>
    <row r="21" spans="1:5" x14ac:dyDescent="0.25">
      <c r="A21" s="302" t="str">
        <f>""&amp;'Общие данные'!C64&amp;" ta’minoti::"</f>
        <v>Mikroqarz ta’minoti::</v>
      </c>
      <c r="B21" s="302"/>
      <c r="C21" s="302"/>
      <c r="D21" s="302"/>
    </row>
    <row r="22" spans="1:5" ht="79.5" customHeight="1" x14ac:dyDescent="0.25">
      <c r="A22" s="304" t="str">
        <f>"1. "&amp;IF('Общие данные'!B110="Avtotransport",A26,A23)&amp;""</f>
        <v>1.   Egalik huquqi RO'ZIYEV ODILJON OLIMJONOVICHga tegishli bo'lgan garovga olingan avtomobil markasi   SPARK, rangi -  OQ BELAYA, ishlab chiqarilgan yili - 2018, davlat raqam belgisi 80F845XA, kuzov turi - YENGIL SEDAN, kuzov raqami XWBMF48NEJA525204, dvigatel raqami B15D212181062B8JX0417, shassi raqami - RAKAMSIZ</v>
      </c>
      <c r="B22" s="304"/>
      <c r="C22" s="304"/>
      <c r="D22" s="304"/>
    </row>
    <row r="23" spans="1:5" ht="79.5" hidden="1" customHeight="1" x14ac:dyDescent="0.25">
      <c r="A23" s="304" t="str">
        <f>IF('Общие данные'!B99='Общие данные'!C99,A25,IF('Общие данные'!B99='Общие данные'!D99,A24,0))</f>
        <v xml:space="preserve"> Egalik huquqi 0ga tegishli bo'lgan umumiy maydoni -   va yashash maydoni -   0,  </v>
      </c>
      <c r="B23" s="304"/>
      <c r="C23" s="304"/>
      <c r="D23" s="304"/>
    </row>
    <row r="24" spans="1:5" ht="96.75" hidden="1" customHeight="1" x14ac:dyDescent="0.25">
      <c r="A24" s="304" t="str">
        <f>" - Navbatdagi garov (ipoteka) Egalik huquqi asosida  "&amp;'Общие данные'!C124&amp;"ga "&amp;'Общие данные'!C133&amp;", umumiy maydoni - "&amp;'Общие данные'!C137&amp;" va yashash maydoni - "&amp;'Общие данные'!C140&amp;", manzili: "&amp;'Общие данные'!C130&amp;"."</f>
        <v xml:space="preserve"> - Navbatdagi garov (ipoteka) Egalik huquqi asosida  0ga  0, umumiy maydoni -  va yashash maydoni - , manzili: .</v>
      </c>
      <c r="B24" s="304"/>
      <c r="C24" s="304"/>
      <c r="D24" s="304"/>
      <c r="E24" s="143"/>
    </row>
    <row r="25" spans="1:5" ht="92.25" hidden="1" customHeight="1" x14ac:dyDescent="0.25">
      <c r="A25" s="304" t="str">
        <f>" Egalik huquqi "&amp;'Общие данные'!C124&amp;"ga tegishli bo'lgan umumiy maydoni - "&amp;'Общие данные'!C137&amp;"  va yashash maydoni - "&amp;'Общие данные'!C140&amp;" "&amp;'Общие данные'!C133&amp;", "&amp;'Общие данные'!C130&amp;" "</f>
        <v xml:space="preserve"> Egalik huquqi 0ga tegishli bo'lgan umumiy maydoni -   va yashash maydoni -   0,  </v>
      </c>
      <c r="B25" s="304"/>
      <c r="C25" s="304"/>
      <c r="D25" s="304"/>
    </row>
    <row r="26" spans="1:5" ht="78" hidden="1" customHeight="1" x14ac:dyDescent="0.25">
      <c r="A26" s="304" t="str">
        <f>IF('Общие данные'!B99='Общие данные'!C99,'Кредитная заявка'!A28:D28,IF('Общие данные'!B99='Общие данные'!D99,'Кредитная заявка'!A27:D27,0))</f>
        <v xml:space="preserve">  Egalik huquqi RO'ZIYEV ODILJON OLIMJONOVICHga tegishli bo'lgan garovga olingan avtomobil markasi   SPARK, rangi -  OQ BELAYA, ishlab chiqarilgan yili - 2018, davlat raqam belgisi 80F845XA, kuzov turi - YENGIL SEDAN, kuzov raqami XWBMF48NEJA525204, dvigatel raqami B15D212181062B8JX0417, shassi raqami - RAKAMSIZ</v>
      </c>
      <c r="B26" s="304"/>
      <c r="C26" s="304"/>
      <c r="D26" s="304"/>
    </row>
    <row r="27" spans="1:5" ht="93" hidden="1" customHeight="1" x14ac:dyDescent="0.25">
      <c r="A27" s="304" t="str">
        <f>" Egalik huquqi "&amp;'Общие данные'!B124&amp;"ga tegishli bo'lgan "&amp;'Общие данные'!B132&amp;", "&amp;'Общие данные'!B140&amp;", davlat raqam belgisi "&amp;'Общие данные'!B133&amp;", "&amp;'Общие данные'!B134&amp;", "&amp;'Общие данные'!B137&amp;" avtotransport vositasi "</f>
        <v xml:space="preserve"> Egalik huquqi RO'ZIYEV ODILJON OLIMJONOVICHga tegishli bo'lgan SPARK, rangi -  OQ BELAYA, ishlab chiqarilgan yili - 2018, davlat raqam belgisi 80F845XA, kuzov turi - YENGIL SEDAN, kuzov raqami XWBMF48NEJA525204, dvigatel raqami B15D212181062B8JX0417, shassi raqami - RAKAMSIZ avtotransport vositasi </v>
      </c>
      <c r="B27" s="304"/>
      <c r="C27" s="304"/>
      <c r="D27" s="304"/>
    </row>
    <row r="28" spans="1:5" ht="93.75" hidden="1" customHeight="1" x14ac:dyDescent="0.25">
      <c r="A28" s="304" t="str">
        <f>"  Egalik huquqi "&amp;'Общие данные'!B124&amp;"ga tegishli bo'lgan garovga olingan avtomobil markasi   "&amp;'Общие данные'!B132&amp;", "&amp;'Общие данные'!B140&amp;", davlat raqam belgisi "&amp;'Общие данные'!B133&amp;", "&amp;'Общие данные'!B134&amp;", "&amp;'Общие данные'!B137&amp;""</f>
        <v xml:space="preserve">  Egalik huquqi RO'ZIYEV ODILJON OLIMJONOVICHga tegishli bo'lgan garovga olingan avtomobil markasi   SPARK, rangi -  OQ BELAYA, ishlab chiqarilgan yili - 2018, davlat raqam belgisi 80F845XA, kuzov turi - YENGIL SEDAN, kuzov raqami XWBMF48NEJA525204, dvigatel raqami B15D212181062B8JX0417, shassi raqami - RAKAMSIZ</v>
      </c>
      <c r="B28" s="304"/>
      <c r="C28" s="304"/>
      <c r="D28" s="304"/>
    </row>
    <row r="29" spans="1:5" ht="40.5" customHeight="1" x14ac:dyDescent="0.25">
      <c r="A29" s="305" t="str">
        <f>"2. 	«"&amp;'Общие данные'!B154&amp;"» АJ sug‘urta kompaniyasi tomonidan "&amp;'Общие данные'!C64&amp;" to'lamaslik xavfini "&amp;FIXED('Общие данные'!B155,2)&amp;"("&amp;'Общие данные'!B156&amp;") so ' m miqdoriga sug’urta qilish"</f>
        <v>2. 	«АО СК "IMPEX INSURANCE"» АJ sug‘urta kompaniyasi tomonidan Mikroqarz to'lamaslik xavfini 23 800 000,00(yigirma uch million sakkiz yuz ming so'm) so ' m miqdoriga sug’urta qilish</v>
      </c>
      <c r="B29" s="305"/>
      <c r="C29" s="305"/>
      <c r="D29" s="305"/>
    </row>
    <row r="30" spans="1:5" ht="10.5" hidden="1" customHeight="1" x14ac:dyDescent="0.25">
      <c r="A30" s="302"/>
      <c r="B30" s="302"/>
      <c r="C30" s="302"/>
      <c r="D30" s="302"/>
    </row>
    <row r="31" spans="1:5" ht="53.25" customHeight="1" x14ac:dyDescent="0.25">
      <c r="A31" s="304" t="str">
        <f>"Mazkur ariza bilan "&amp;'Общие данные'!B158&amp;"ga men va soʻralayotgan "&amp;'Общие данные'!B65&amp;"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B31" s="304"/>
      <c r="C31" s="304"/>
      <c r="D31" s="304"/>
    </row>
    <row r="32" spans="1:5" ht="15.75" customHeight="1" x14ac:dyDescent="0.25">
      <c r="A32" s="304" t="s">
        <v>240</v>
      </c>
      <c r="B32" s="304"/>
      <c r="C32" s="304"/>
      <c r="D32" s="304"/>
    </row>
    <row r="33" spans="1:4" x14ac:dyDescent="0.25">
      <c r="A33" s="304" t="s">
        <v>241</v>
      </c>
      <c r="B33" s="304"/>
      <c r="C33" s="304"/>
      <c r="D33" s="304"/>
    </row>
    <row r="34" spans="1:4" x14ac:dyDescent="0.25">
      <c r="A34" s="304" t="s">
        <v>242</v>
      </c>
      <c r="B34" s="304"/>
      <c r="C34" s="304"/>
      <c r="D34" s="304"/>
    </row>
    <row r="35" spans="1:4" x14ac:dyDescent="0.25">
      <c r="A35" s="302" t="str">
        <f>"Ariza berilgan sana: "&amp;TEXT('Общие данные'!B2,"ДД.ММ.ГГГГ")&amp;"y."</f>
        <v>Ariza berilgan sana: 07.04.2026y.</v>
      </c>
      <c r="B35" s="302"/>
      <c r="C35" s="302"/>
      <c r="D35" s="302"/>
    </row>
    <row r="36" spans="1:4" hidden="1" x14ac:dyDescent="0.25">
      <c r="A36" s="302"/>
      <c r="B36" s="302"/>
      <c r="C36" s="302"/>
      <c r="D36" s="302"/>
    </row>
    <row r="37" spans="1:4" x14ac:dyDescent="0.25">
      <c r="A37" s="302" t="s">
        <v>243</v>
      </c>
      <c r="B37" s="302"/>
      <c r="C37" s="302"/>
      <c r="D37" s="302"/>
    </row>
    <row r="38" spans="1:4" hidden="1" x14ac:dyDescent="0.25">
      <c r="A38" s="302"/>
      <c r="B38" s="302"/>
      <c r="C38" s="302"/>
      <c r="D38" s="302"/>
    </row>
    <row r="39" spans="1:4" ht="11.25" customHeight="1" x14ac:dyDescent="0.25">
      <c r="A39" s="302"/>
      <c r="B39" s="302"/>
      <c r="C39" s="302"/>
      <c r="D39" s="302"/>
    </row>
    <row r="40" spans="1:4" ht="15.75" customHeight="1" x14ac:dyDescent="0.25">
      <c r="A40" s="303" t="str">
        <f>'Общие данные'!B5</f>
        <v>ALLAMURODOV MUHAMMAD YOQUB O‘G‘LI</v>
      </c>
      <c r="B40" s="303"/>
      <c r="C40" s="303"/>
      <c r="D40" s="195" t="s">
        <v>377</v>
      </c>
    </row>
    <row r="41" spans="1:4" x14ac:dyDescent="0.25">
      <c r="A41" s="9"/>
      <c r="B41" s="9"/>
      <c r="D41" s="10" t="s">
        <v>320</v>
      </c>
    </row>
    <row r="42" spans="1:4" x14ac:dyDescent="0.25">
      <c r="A42" s="302"/>
      <c r="B42" s="302"/>
      <c r="C42" s="302"/>
      <c r="D42" s="302"/>
    </row>
    <row r="43" spans="1:4" x14ac:dyDescent="0.25">
      <c r="A43" s="11" t="str">
        <f>'Общие данные'!A171</f>
        <v>Buxoro filiali boshlig’i</v>
      </c>
      <c r="B43" s="193"/>
      <c r="C43" s="193"/>
      <c r="D43" s="193" t="str">
        <f>'Общие данные'!B171</f>
        <v>Ikromov B.A.</v>
      </c>
    </row>
    <row r="44" spans="1:4" x14ac:dyDescent="0.25">
      <c r="A44" s="143"/>
      <c r="B44" s="143"/>
      <c r="C44" s="143"/>
      <c r="D44" s="143"/>
    </row>
    <row r="45" spans="1:4" x14ac:dyDescent="0.25">
      <c r="A45" s="143"/>
      <c r="B45" s="143"/>
      <c r="C45" s="143"/>
      <c r="D45" s="143"/>
    </row>
    <row r="46" spans="1:4" x14ac:dyDescent="0.25">
      <c r="A46" s="143"/>
      <c r="B46" s="143"/>
      <c r="C46" s="143"/>
      <c r="D46" s="143"/>
    </row>
    <row r="47" spans="1:4" x14ac:dyDescent="0.25">
      <c r="A47" s="302"/>
      <c r="B47" s="302"/>
      <c r="C47" s="302"/>
      <c r="D47" s="302"/>
    </row>
    <row r="48" spans="1:4" x14ac:dyDescent="0.25">
      <c r="A48" s="302"/>
      <c r="B48" s="302"/>
      <c r="C48" s="302"/>
      <c r="D48" s="302"/>
    </row>
    <row r="49" spans="1:4" x14ac:dyDescent="0.25">
      <c r="A49" s="302"/>
      <c r="B49" s="302"/>
      <c r="C49" s="302"/>
      <c r="D49" s="302"/>
    </row>
    <row r="50" spans="1:4" x14ac:dyDescent="0.25">
      <c r="A50" s="302"/>
      <c r="B50" s="302"/>
      <c r="C50" s="302"/>
      <c r="D50" s="302"/>
    </row>
    <row r="51" spans="1:4" x14ac:dyDescent="0.25">
      <c r="A51" s="302"/>
      <c r="B51" s="302"/>
      <c r="C51" s="302"/>
      <c r="D51" s="302"/>
    </row>
    <row r="52" spans="1:4" x14ac:dyDescent="0.25">
      <c r="A52" s="302"/>
      <c r="B52" s="302"/>
      <c r="C52" s="302"/>
      <c r="D52" s="302"/>
    </row>
    <row r="53" spans="1:4" x14ac:dyDescent="0.25">
      <c r="A53" s="302"/>
      <c r="B53" s="302"/>
      <c r="C53" s="302"/>
      <c r="D53" s="302"/>
    </row>
    <row r="54" spans="1:4" x14ac:dyDescent="0.25">
      <c r="A54" s="302"/>
      <c r="B54" s="302"/>
      <c r="C54" s="302"/>
      <c r="D54" s="302"/>
    </row>
    <row r="55" spans="1:4" x14ac:dyDescent="0.25">
      <c r="A55" s="302"/>
      <c r="B55" s="302"/>
      <c r="C55" s="302"/>
      <c r="D55" s="302"/>
    </row>
    <row r="56" spans="1:4" x14ac:dyDescent="0.25">
      <c r="A56" s="302"/>
      <c r="B56" s="302"/>
      <c r="C56" s="302"/>
      <c r="D56" s="302"/>
    </row>
    <row r="57" spans="1:4" x14ac:dyDescent="0.25">
      <c r="A57" s="302"/>
      <c r="B57" s="302"/>
      <c r="C57" s="302"/>
      <c r="D57" s="302"/>
    </row>
    <row r="58" spans="1:4" x14ac:dyDescent="0.25">
      <c r="A58" s="302"/>
      <c r="B58" s="302"/>
      <c r="C58" s="302"/>
      <c r="D58" s="302"/>
    </row>
    <row r="59" spans="1:4" x14ac:dyDescent="0.25">
      <c r="A59" s="302"/>
      <c r="B59" s="302"/>
      <c r="C59" s="302"/>
      <c r="D59" s="302"/>
    </row>
    <row r="60" spans="1:4" x14ac:dyDescent="0.25">
      <c r="A60" s="302"/>
      <c r="B60" s="302"/>
      <c r="C60" s="302"/>
      <c r="D60" s="302"/>
    </row>
    <row r="61" spans="1:4" x14ac:dyDescent="0.25">
      <c r="A61" s="302"/>
      <c r="B61" s="302"/>
      <c r="C61" s="302"/>
      <c r="D61" s="302"/>
    </row>
    <row r="62" spans="1:4" x14ac:dyDescent="0.25">
      <c r="A62" s="302"/>
      <c r="B62" s="302"/>
      <c r="C62" s="302"/>
      <c r="D62" s="302"/>
    </row>
    <row r="63" spans="1:4" x14ac:dyDescent="0.25">
      <c r="A63" s="302"/>
      <c r="B63" s="302"/>
      <c r="C63" s="302"/>
      <c r="D63" s="302"/>
    </row>
    <row r="64" spans="1:4" x14ac:dyDescent="0.25">
      <c r="A64" s="302"/>
      <c r="B64" s="302"/>
      <c r="C64" s="302"/>
      <c r="D64" s="302"/>
    </row>
    <row r="65" spans="1:4" x14ac:dyDescent="0.25">
      <c r="A65" s="302"/>
      <c r="B65" s="302"/>
      <c r="C65" s="302"/>
      <c r="D65" s="302"/>
    </row>
    <row r="66" spans="1:4" x14ac:dyDescent="0.25">
      <c r="A66" s="302"/>
      <c r="B66" s="302"/>
      <c r="C66" s="302"/>
      <c r="D66" s="302"/>
    </row>
    <row r="67" spans="1:4" x14ac:dyDescent="0.25">
      <c r="A67" s="302"/>
      <c r="B67" s="302"/>
      <c r="C67" s="302"/>
      <c r="D67" s="302"/>
    </row>
    <row r="68" spans="1:4" x14ac:dyDescent="0.25">
      <c r="A68" s="302"/>
      <c r="B68" s="302"/>
      <c r="C68" s="302"/>
      <c r="D68" s="302"/>
    </row>
    <row r="69" spans="1:4" x14ac:dyDescent="0.25">
      <c r="A69" s="302"/>
      <c r="B69" s="302"/>
      <c r="C69" s="302"/>
      <c r="D69" s="302"/>
    </row>
    <row r="70" spans="1:4" x14ac:dyDescent="0.25">
      <c r="A70" s="302"/>
      <c r="B70" s="302"/>
      <c r="C70" s="302"/>
      <c r="D70" s="302"/>
    </row>
    <row r="71" spans="1:4" x14ac:dyDescent="0.25">
      <c r="A71" s="302"/>
      <c r="B71" s="302"/>
      <c r="C71" s="302"/>
      <c r="D71" s="302"/>
    </row>
    <row r="72" spans="1:4" x14ac:dyDescent="0.25">
      <c r="A72" s="302"/>
      <c r="B72" s="302"/>
      <c r="C72" s="302"/>
      <c r="D72" s="302"/>
    </row>
    <row r="73" spans="1:4" x14ac:dyDescent="0.25">
      <c r="A73" s="302"/>
      <c r="B73" s="302"/>
      <c r="C73" s="302"/>
      <c r="D73" s="302"/>
    </row>
    <row r="74" spans="1:4" x14ac:dyDescent="0.25">
      <c r="A74" s="302"/>
      <c r="B74" s="302"/>
      <c r="C74" s="302"/>
      <c r="D74" s="302"/>
    </row>
    <row r="75" spans="1:4" x14ac:dyDescent="0.25">
      <c r="A75" s="302"/>
      <c r="B75" s="302"/>
      <c r="C75" s="302"/>
      <c r="D75" s="302"/>
    </row>
    <row r="76" spans="1:4" x14ac:dyDescent="0.25">
      <c r="A76" s="302"/>
      <c r="B76" s="302"/>
      <c r="C76" s="302"/>
      <c r="D76" s="302"/>
    </row>
    <row r="77" spans="1:4" x14ac:dyDescent="0.25">
      <c r="A77" s="302"/>
      <c r="B77" s="302"/>
      <c r="C77" s="302"/>
      <c r="D77" s="302"/>
    </row>
    <row r="78" spans="1:4" x14ac:dyDescent="0.25">
      <c r="A78" s="302"/>
      <c r="B78" s="302"/>
      <c r="C78" s="302"/>
      <c r="D78" s="302"/>
    </row>
  </sheetData>
  <mergeCells count="71">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30:D30"/>
    <mergeCell ref="A29:D29"/>
    <mergeCell ref="A35:D35"/>
    <mergeCell ref="A42:D42"/>
    <mergeCell ref="A36:D36"/>
    <mergeCell ref="A37:D37"/>
    <mergeCell ref="A38:D38"/>
    <mergeCell ref="A39:D39"/>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0866141732283472" right="0.70866141732283472" top="0.74803149606299213" bottom="0.74803149606299213" header="0.31496062992125984" footer="0.31496062992125984"/>
  <pageSetup paperSize="9" scale="9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00B050"/>
  </sheetPr>
  <dimension ref="A3:B11"/>
  <sheetViews>
    <sheetView view="pageBreakPreview" zoomScale="85" zoomScaleNormal="100" zoomScaleSheetLayoutView="85" workbookViewId="0">
      <selection activeCell="E33" sqref="E33"/>
    </sheetView>
  </sheetViews>
  <sheetFormatPr defaultRowHeight="15" x14ac:dyDescent="0.25"/>
  <cols>
    <col min="1" max="1" width="54.42578125" style="13" customWidth="1"/>
    <col min="2" max="2" width="32.28515625" style="13" customWidth="1"/>
  </cols>
  <sheetData>
    <row r="3" spans="1:2" ht="35.25" customHeight="1" x14ac:dyDescent="0.25">
      <c r="A3" s="308" t="s">
        <v>206</v>
      </c>
      <c r="B3" s="308"/>
    </row>
    <row r="4" spans="1:2" ht="92.25" customHeight="1" x14ac:dyDescent="0.25">
      <c r="A4" s="270" t="str">
        <f>"     Men, fuqaro "&amp;'Общие данные'!B5&amp;" "&amp;'Общие данные'!B160&amp;" bilan "&amp;'Общие данные'!B69&amp;" sanasidagi "&amp;'Общие данные'!B66&amp;"-sonli shartnomaning garov ta'minoti sifatida taqdim etilayotgan mulk "&amp;'Общие данные'!B132&amp;" rusumli avtotransport vositasini qonunga xilof ravishda o‘zlashtirmaslikka, yashirmaslikka, nobud qilmaslikka yoki unga shikast yetkazmaslik majburiyatini olaman."</f>
        <v xml:space="preserve">     Men, fuqaro ALLAMURODOV MUHAMMAD YOQUB O‘G‘LI «PULLOL BUSINESS MIKROMOLIYA TASHKILOTI»  MChJ bilan 7 aprel 2026 y. sanasidagi № 323-BR-sonli shartnomaning garov ta'minoti sifatida taqdim etilayotgan mulk SPARK rusumli avtotransport vositasini qonunga xilof ravishda o‘zlashtirmaslikka, yashirmaslikka, nobud qilmaslikka yoki unga shikast yetkazmaslik majburiyatini olaman.</v>
      </c>
      <c r="B4" s="270"/>
    </row>
    <row r="5" spans="1:2" ht="56.25" customHeight="1" x14ac:dyDescent="0.25">
      <c r="A5" s="309" t="s">
        <v>207</v>
      </c>
      <c r="B5" s="309"/>
    </row>
    <row r="6" spans="1:2" ht="42.75" customHeight="1" x14ac:dyDescent="0.25"/>
    <row r="7" spans="1:2" x14ac:dyDescent="0.25">
      <c r="A7" s="13" t="str">
        <f>'Общие данные'!B5</f>
        <v>ALLAMURODOV MUHAMMAD YOQUB O‘G‘LI</v>
      </c>
      <c r="B7" s="125" t="s">
        <v>208</v>
      </c>
    </row>
    <row r="8" spans="1:2" ht="26.25" customHeight="1" x14ac:dyDescent="0.25"/>
    <row r="9" spans="1:2" hidden="1" x14ac:dyDescent="0.25">
      <c r="A9" s="13" t="str">
        <f>'Общие данные'!B5</f>
        <v>ALLAMURODOV MUHAMMAD YOQUB O‘G‘LI</v>
      </c>
      <c r="B9" s="125" t="s">
        <v>208</v>
      </c>
    </row>
    <row r="10" spans="1:2" ht="26.25" customHeight="1" x14ac:dyDescent="0.25"/>
    <row r="11" spans="1:2" x14ac:dyDescent="0.25">
      <c r="A11" s="13" t="str">
        <f>"sana:   "&amp;TEXT('Общие данные'!B2,"ДД.ММ.ГГГГ")&amp;" y."</f>
        <v>sana:   07.04.2026 y.</v>
      </c>
    </row>
  </sheetData>
  <mergeCells count="3">
    <mergeCell ref="A3:B3"/>
    <mergeCell ref="A4:B4"/>
    <mergeCell ref="A5:B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00B050"/>
  </sheetPr>
  <dimension ref="A1:E67"/>
  <sheetViews>
    <sheetView view="pageBreakPreview" topLeftCell="A41" zoomScaleSheetLayoutView="100" workbookViewId="0">
      <selection activeCell="A24" sqref="A24:E24"/>
    </sheetView>
  </sheetViews>
  <sheetFormatPr defaultColWidth="9.140625" defaultRowHeight="15" outlineLevelRow="1" x14ac:dyDescent="0.25"/>
  <cols>
    <col min="1" max="2" width="23.7109375" style="13" customWidth="1"/>
    <col min="3" max="3" width="18.28515625" style="13" customWidth="1"/>
    <col min="4" max="5" width="17" style="13" customWidth="1"/>
    <col min="6" max="16384" width="9.140625" style="13"/>
  </cols>
  <sheetData>
    <row r="1" spans="1:5" ht="36" customHeight="1" x14ac:dyDescent="0.25">
      <c r="A1" s="311" t="str">
        <f>""&amp;'Общие данные'!B158&amp;"
mikromoliya tashkilotining Xulosasi"</f>
        <v>«PULLOL BUSINESS MIKROMOLIYA TASHKILOTI»  MChJ
mikromoliya tashkilotining Xulosasi</v>
      </c>
      <c r="B1" s="311"/>
      <c r="C1" s="311"/>
      <c r="D1" s="311"/>
      <c r="E1" s="311"/>
    </row>
    <row r="2" spans="1:5" x14ac:dyDescent="0.25">
      <c r="A2" s="270"/>
      <c r="B2" s="270"/>
      <c r="C2" s="270"/>
      <c r="D2" s="270"/>
      <c r="E2" s="270"/>
    </row>
    <row r="3" spans="1:5" x14ac:dyDescent="0.25">
      <c r="A3" s="311" t="s">
        <v>196</v>
      </c>
      <c r="B3" s="311"/>
      <c r="C3" s="311"/>
      <c r="D3" s="311"/>
      <c r="E3" s="311"/>
    </row>
    <row r="4" spans="1:5" x14ac:dyDescent="0.25">
      <c r="A4" s="270" t="str">
        <f>"Mijozning to'liq ismi sharifi: "&amp;'Общие данные'!B5&amp;""</f>
        <v>Mijozning to'liq ismi sharifi: ALLAMURODOV MUHAMMAD YOQUB O‘G‘LI</v>
      </c>
      <c r="B4" s="270"/>
      <c r="C4" s="270"/>
      <c r="D4" s="270"/>
      <c r="E4" s="270"/>
    </row>
    <row r="5" spans="1:5" x14ac:dyDescent="0.25">
      <c r="A5" s="270" t="str">
        <f>"Tug'ilgan sanasi: "&amp;'Общие данные'!B15&amp;""</f>
        <v>Tug'ilgan sanasi: 24.05.1993 y</v>
      </c>
      <c r="B5" s="270"/>
      <c r="C5" s="270"/>
      <c r="D5" s="270"/>
      <c r="E5" s="270"/>
    </row>
    <row r="6" spans="1:5" ht="31.5" customHeight="1" x14ac:dyDescent="0.25">
      <c r="A6" s="270" t="str">
        <f>"Pasport seriyasi "&amp;'Общие данные'!B16&amp;" "&amp;'Общие данные'!B20&amp;", amal qilish muddati - "&amp;'Общие данные'!B21&amp;""</f>
        <v>Pasport seriyasi AD 9213848  IIV 61013  tomonidan 31.10.2024 yilda berilgan, amal qilish muddati - 30.10.2034 y.</v>
      </c>
      <c r="B6" s="270"/>
      <c r="C6" s="270"/>
      <c r="D6" s="270"/>
      <c r="E6" s="270"/>
    </row>
    <row r="7" spans="1:5" ht="48" customHeight="1" x14ac:dyDescent="0.25">
      <c r="A7" s="270" t="str">
        <f>"Ro‘yxatdan o‘tgan manzili: "&amp;'Общие данные'!B22&amp;", mo'ljal: "&amp;'Общие данные'!B26&amp;""</f>
        <v>Ro‘yxatdan o‘tgan manzili: BUXORO VILOYATI KOGON TUMANI SORG'UN MFY PARAKATI QQ 22-UY, mo'ljal: 7-MAKTAB</v>
      </c>
      <c r="B7" s="270"/>
      <c r="C7" s="270"/>
      <c r="D7" s="270"/>
      <c r="E7" s="270"/>
    </row>
    <row r="8" spans="1:5" ht="23.25" customHeight="1" x14ac:dyDescent="0.25">
      <c r="A8" s="270" t="str">
        <f>"Ish joyi: "&amp;'Общие данные'!B52&amp;" lavozimi "&amp;'Общие данные'!B49&amp;"da "&amp;'Общие данные'!B44&amp;" "&amp;'Общие данные'!B47&amp;""</f>
        <v>Ish joyi:  lavozimi Йўловчиларни енгил автотранспорт воситаларида ташишda O'Z O'ZINI BAND QILGAN FUQARO MA'LUMOTNOMA № № 0013114001</v>
      </c>
      <c r="B8" s="270"/>
      <c r="C8" s="270"/>
      <c r="D8" s="270"/>
      <c r="E8" s="270"/>
    </row>
    <row r="9" spans="1:5" x14ac:dyDescent="0.25">
      <c r="A9" s="270"/>
      <c r="B9" s="270"/>
      <c r="C9" s="270"/>
      <c r="D9" s="270"/>
      <c r="E9" s="270"/>
    </row>
    <row r="10" spans="1:5" x14ac:dyDescent="0.25">
      <c r="A10" s="311" t="str">
        <f>"Mijoz tomonidan so’ralgan "&amp;'Общие данные'!B65&amp;" shartlari:"</f>
        <v>Mijoz tomonidan so’ralgan mikroqarz shartlari:</v>
      </c>
      <c r="B10" s="311"/>
      <c r="C10" s="311"/>
      <c r="D10" s="311"/>
      <c r="E10" s="311"/>
    </row>
    <row r="11" spans="1:5" x14ac:dyDescent="0.25">
      <c r="A11" s="270" t="str">
        <f>'Кредитная заявка'!A13:D13</f>
        <v>Mikroqarz summasi: 52 000 000,00 (ellik ikki million so'm) so'm.</v>
      </c>
      <c r="B11" s="270"/>
      <c r="C11" s="270"/>
      <c r="D11" s="270"/>
      <c r="E11" s="270"/>
    </row>
    <row r="12" spans="1:5" x14ac:dyDescent="0.25">
      <c r="A12" s="270" t="str">
        <f>'Кредитная заявка'!A14:D14</f>
        <v>Mikroqarz muddati: 36 (O'ttiz olti  ) oy.</v>
      </c>
      <c r="B12" s="270"/>
      <c r="C12" s="270"/>
      <c r="D12" s="270"/>
      <c r="E12" s="270"/>
    </row>
    <row r="13" spans="1:5" x14ac:dyDescent="0.25">
      <c r="A13" s="270" t="str">
        <f>'Кредитная заявка'!A15:D15</f>
        <v>Mikroqarzdan foydalanganlik uchun foiz stavkasi: yillik  55% (Ellik besh  ) foiz</v>
      </c>
      <c r="B13" s="270"/>
      <c r="C13" s="270"/>
      <c r="D13" s="270"/>
      <c r="E13" s="270"/>
    </row>
    <row r="14" spans="1:5" x14ac:dyDescent="0.25">
      <c r="A14" s="270" t="str">
        <f>'Кредитная заявка'!A16:D16</f>
        <v>Mikroqarz bo'yicha asosiy qarz va foizlarni to'lash:</v>
      </c>
      <c r="B14" s="270"/>
      <c r="C14" s="270"/>
      <c r="D14" s="270"/>
      <c r="E14" s="270"/>
    </row>
    <row r="15" spans="1:5" ht="18.75" customHeight="1" x14ac:dyDescent="0.25">
      <c r="A15" s="270" t="str">
        <f>'Кредитная заявка'!A19:D19</f>
        <v xml:space="preserve"> - mikroqarz shartnomasi bo'yicha har oy differensial to'lovlari amalga oshiriladi</v>
      </c>
      <c r="B15" s="270"/>
      <c r="C15" s="270"/>
      <c r="D15" s="270"/>
      <c r="E15" s="270"/>
    </row>
    <row r="16" spans="1:5" ht="14.25" customHeight="1" x14ac:dyDescent="0.25">
      <c r="A16" s="271" t="str">
        <f>'Кредитная заявка'!A20:D20</f>
        <v xml:space="preserve">   </v>
      </c>
      <c r="B16" s="271"/>
      <c r="C16" s="271"/>
      <c r="D16" s="271"/>
      <c r="E16" s="271"/>
    </row>
    <row r="17" spans="1:5" x14ac:dyDescent="0.25">
      <c r="A17" s="270" t="str">
        <f>'Кредитная заявка'!A21:D21</f>
        <v>Mikroqarz ta’minoti::</v>
      </c>
      <c r="B17" s="270"/>
      <c r="C17" s="270"/>
      <c r="D17" s="270"/>
      <c r="E17" s="270"/>
    </row>
    <row r="18" spans="1:5" ht="67.5" customHeight="1" x14ac:dyDescent="0.25">
      <c r="A18" s="270" t="str">
        <f>'Кредитная заявка'!A22:D22</f>
        <v>1.   Egalik huquqi RO'ZIYEV ODILJON OLIMJONOVICHga tegishli bo'lgan garovga olingan avtomobil markasi   SPARK, rangi -  OQ BELAYA, ishlab chiqarilgan yili - 2018, davlat raqam belgisi 80F845XA, kuzov turi - YENGIL SEDAN, kuzov raqami XWBMF48NEJA525204, dvigatel raqami B15D212181062B8JX0417, shassi raqami - RAKAMSIZ</v>
      </c>
      <c r="B18" s="270"/>
      <c r="C18" s="270"/>
      <c r="D18" s="270"/>
      <c r="E18" s="270"/>
    </row>
    <row r="19" spans="1:5" x14ac:dyDescent="0.25">
      <c r="A19" s="311" t="s">
        <v>197</v>
      </c>
      <c r="B19" s="311"/>
      <c r="C19" s="311"/>
      <c r="D19" s="311"/>
      <c r="E19" s="311"/>
    </row>
    <row r="20" spans="1:5" ht="21" customHeight="1" x14ac:dyDescent="0.25">
      <c r="A20" s="270" t="str">
        <f>"Anketaga muvofiq "&amp;'Общие данные'!B9&amp;"ning o‘rtacha oylik daromadi  "&amp;FIXED('Анкета Клиента'!B27)&amp;" so‘mni tashkil etdi."</f>
        <v>Anketaga muvofiq ALLAMURODOV M.Y.ning o‘rtacha oylik daromadi  13 000 000,00 so‘mni tashkil etdi.</v>
      </c>
      <c r="B20" s="270"/>
      <c r="C20" s="270"/>
      <c r="D20" s="270"/>
      <c r="E20" s="270"/>
    </row>
    <row r="21" spans="1:5" ht="21" customHeight="1" x14ac:dyDescent="0.25">
      <c r="A21" s="270" t="str">
        <f>"Mijozning o'rtacha oylik xarajatlari "&amp;FIXED('Анкета Клиента'!F27)&amp;" so'mni tashkil etdi"</f>
        <v>Mijozning o'rtacha oylik xarajatlari 1 800 000,00 so'mni tashkil etdi</v>
      </c>
      <c r="B21" s="270"/>
      <c r="C21" s="270"/>
      <c r="D21" s="270"/>
      <c r="E21" s="270"/>
    </row>
    <row r="22" spans="1:5" ht="18" hidden="1" customHeight="1" x14ac:dyDescent="0.25">
      <c r="A22" s="270" t="str">
        <f>IF('Общие данные'!B78='Общие данные'!C78,'Заключение КК'!A23:E23,'Заключение КК'!A24:E24)</f>
        <v>Mikroqarz shartnomasi bo'yicha birinchi oy uchun to'lov 3 806 012,04 so'mni tashkil etadi.</v>
      </c>
      <c r="B22" s="270"/>
      <c r="C22" s="270"/>
      <c r="D22" s="270"/>
      <c r="E22" s="270"/>
    </row>
    <row r="23" spans="1:5" ht="21" hidden="1" customHeight="1" x14ac:dyDescent="0.25">
      <c r="A23" s="270" t="str">
        <f>""&amp;'Общие данные'!C64&amp;" shartnomasi bo'yicha birinchi oy uchun to'lov "&amp;FIXED('Общие данные'!B91)&amp;" so'mni tashkil etadi."</f>
        <v>Mikroqarz shartnomasi bo'yicha birinchi oy uchun to'lov 3 806 012,04 so'mni tashkil etadi.</v>
      </c>
      <c r="B23" s="270"/>
      <c r="C23" s="270"/>
      <c r="D23" s="270"/>
      <c r="E23" s="270"/>
    </row>
    <row r="24" spans="1:5" x14ac:dyDescent="0.25">
      <c r="A24" s="270" t="str">
        <f>""&amp;'Общие данные'!C64&amp;" bo‘yicha oylik "&amp;'Общие данные'!B78&amp;" to‘lovi miqdori "&amp;FIXED('Общие данные'!B91)&amp;" so‘mni tashkil etadi."</f>
        <v>Mikroqarz bo‘yicha oylik differensial to‘lovi miqdori 3 806 012,04 so‘mni tashkil etadi.</v>
      </c>
      <c r="B24" s="270"/>
      <c r="C24" s="270"/>
      <c r="D24" s="270"/>
      <c r="E24" s="270"/>
    </row>
    <row r="25" spans="1:5" ht="53.25" hidden="1" customHeight="1" x14ac:dyDescent="0.25">
      <c r="A25" s="271" t="s">
        <v>431</v>
      </c>
      <c r="B25" s="271"/>
      <c r="C25" s="271"/>
      <c r="D25" s="271"/>
      <c r="E25" s="271"/>
    </row>
    <row r="26" spans="1:5" x14ac:dyDescent="0.25">
      <c r="A26" s="311" t="str">
        <f>""&amp;'Общие данные'!C64&amp;" bo’yicha ta’minot:"</f>
        <v>Mikroqarz bo’yicha ta’minot:</v>
      </c>
      <c r="B26" s="311"/>
      <c r="C26" s="311"/>
      <c r="D26" s="311"/>
      <c r="E26" s="311"/>
    </row>
    <row r="27" spans="1:5" ht="31.5" hidden="1" customHeight="1" x14ac:dyDescent="0.25">
      <c r="A27" s="270" t="str">
        <f>" - "&amp;'Общие данные'!B124&amp;" ga mulk huquqi asosida tegishli avtotransport vositasi "&amp;'Общие данные'!B132&amp;" , quyidagi tafsilotlarga muvofiq:"</f>
        <v xml:space="preserve"> - RO'ZIYEV ODILJON OLIMJONOVICH ga mulk huquqi asosida tegishli avtotransport vositasi SPARK , quyidagi tafsilotlarga muvofiq:</v>
      </c>
      <c r="B27" s="270"/>
      <c r="C27" s="270"/>
      <c r="D27" s="270"/>
      <c r="E27" s="270"/>
    </row>
    <row r="28" spans="1:5" ht="67.5" hidden="1" customHeight="1" x14ac:dyDescent="0.25">
      <c r="A28" s="270" t="str">
        <f>" -   "&amp;'Общие данные'!C124&amp;" ga mulk huquqi asosida tegishli ko'chmas mulk shaklida "&amp;'Общие данные'!C133&amp;", manzili: "&amp;'Общие данные'!C130&amp;", quyidagi tafsilotlarga muvofiq:"</f>
        <v xml:space="preserve"> -   0 ga mulk huquqi asosida tegishli ko'chmas mulk shaklida  0, manzili: , quyidagi tafsilotlarga muvofiq:</v>
      </c>
      <c r="B28" s="270"/>
      <c r="C28" s="270"/>
      <c r="D28" s="270"/>
      <c r="E28" s="270"/>
    </row>
    <row r="29" spans="1:5" ht="44.25" customHeight="1" x14ac:dyDescent="0.25">
      <c r="A29" s="270" t="str">
        <f>IF('Общие данные'!B110="Avtotransport",'Заключение КК'!A27:E27,'Заключение КК'!A28:E28)</f>
        <v xml:space="preserve"> - RO'ZIYEV ODILJON OLIMJONOVICH ga mulk huquqi asosida tegishli avtotransport vositasi SPARK , quyidagi tafsilotlarga muvofiq:</v>
      </c>
      <c r="B29" s="270"/>
      <c r="C29" s="270"/>
      <c r="D29" s="270"/>
      <c r="E29" s="270"/>
    </row>
    <row r="30" spans="1:5" s="14" customFormat="1" ht="47.25" customHeight="1" outlineLevel="1" x14ac:dyDescent="0.25">
      <c r="A30" s="36" t="str">
        <f>'Акт согласования'!A29</f>
        <v>Nomi</v>
      </c>
      <c r="B30" s="36" t="str">
        <f>'Акт согласования'!B29</f>
        <v>Kuzov turi  va kuzov raqami*</v>
      </c>
      <c r="C30" s="36" t="str">
        <f>'Акт согласования'!C29</f>
        <v>Dvigatel va shassi raqami*</v>
      </c>
      <c r="D30" s="36" t="str">
        <f>'Акт согласования'!D29</f>
        <v>Ishlab chiqarilgan yili va rangi*</v>
      </c>
      <c r="E30" s="36" t="str">
        <f>'Акт согласования'!E29</f>
        <v>Kelishilgan garov qiymati, so'm</v>
      </c>
    </row>
    <row r="31" spans="1:5" s="18" customFormat="1" ht="102.75" customHeight="1" outlineLevel="1" x14ac:dyDescent="0.25">
      <c r="A31" s="15" t="str">
        <f>'Акт согласования'!A30</f>
        <v>SPARK</v>
      </c>
      <c r="B31" s="15" t="str">
        <f>'Акт согласования'!B30</f>
        <v>kuzov turi - YENGIL SEDAN, kuzov raqami XWBMF48NEJA525204</v>
      </c>
      <c r="C31" s="15" t="str">
        <f>'Акт согласования'!C30</f>
        <v>dvigatel raqami B15D212181062B8JX0417, shassi raqami - RAKAMSIZ</v>
      </c>
      <c r="D31" s="15" t="str">
        <f>'Акт согласования'!D30</f>
        <v>rangi -  OQ BELAYA, ishlab chiqarilgan yili - 2018</v>
      </c>
      <c r="E31" s="15" t="str">
        <f>'Акт согласования'!E30</f>
        <v>49 000 000,00 
(qirq to'qqiz million so'm)</v>
      </c>
    </row>
    <row r="32" spans="1:5" ht="15.75" customHeight="1" outlineLevel="1" x14ac:dyDescent="0.25">
      <c r="A32" s="270" t="str">
        <f>'Акт согласования'!A22</f>
        <v>-* avtotransport egasi: RO'ZIYEV ODILJON OLIMJONOVICH</v>
      </c>
      <c r="B32" s="270"/>
      <c r="C32" s="270"/>
      <c r="D32" s="270"/>
      <c r="E32" s="270"/>
    </row>
    <row r="33" spans="1:5" ht="15" customHeight="1" outlineLevel="1" x14ac:dyDescent="0.25">
      <c r="A33" s="270" t="str">
        <f>'Акт согласования'!A23</f>
        <v>-* texnik pasport: AAG   2554881   10.10.2023 y</v>
      </c>
      <c r="B33" s="270"/>
      <c r="C33" s="270"/>
      <c r="D33" s="270"/>
      <c r="E33" s="270"/>
    </row>
    <row r="34" spans="1:5" ht="33" customHeight="1" outlineLevel="1" x14ac:dyDescent="0.25">
      <c r="A34" s="270" t="str">
        <f>'Акт согласования'!A24</f>
        <v>-* roʻyxatdan oʻtgan manzili/garaj manzili: BUXORO VILOYATI OLOT TUMANI ASAJAM MFY ASAJAM</v>
      </c>
      <c r="B34" s="270"/>
      <c r="C34" s="270"/>
      <c r="D34" s="270"/>
      <c r="E34" s="270"/>
    </row>
    <row r="35" spans="1:5" ht="25.5" customHeight="1" outlineLevel="1" x14ac:dyDescent="0.25">
      <c r="A35" s="270" t="str">
        <f>'Акт согласования'!A25</f>
        <v>-* davlat raqami: 80F845XA</v>
      </c>
      <c r="B35" s="270"/>
      <c r="C35" s="270"/>
      <c r="D35" s="270"/>
      <c r="E35" s="270"/>
    </row>
    <row r="36" spans="1:5" ht="39" customHeight="1" x14ac:dyDescent="0.25">
      <c r="A36" s="311" t="str">
        <f>""&amp;'Общие данные'!B158&amp;"
mikromoliya tashkilotining Xulosasi"</f>
        <v>«PULLOL BUSINESS MIKROMOLIYA TASHKILOTI»  MChJ
mikromoliya tashkilotining Xulosasi</v>
      </c>
      <c r="B36" s="311"/>
      <c r="C36" s="311"/>
      <c r="D36" s="311"/>
      <c r="E36" s="311"/>
    </row>
    <row r="37" spans="1:5" ht="33.75" customHeight="1" x14ac:dyDescent="0.25">
      <c r="A37" s="270" t="str">
        <f>""&amp;'Общие данные'!B158&amp;" kredit qo‘mitasining xulosasiga quyidagi shartlarda "&amp;'Общие данные'!B10&amp;"ga "&amp;'Общие данные'!B65&amp;" berish masalasi kiritiladi:"</f>
        <v>«PULLOL BUSINESS MIKROMOLIYA TASHKILOTI»  MChJ kredit qo‘mitasining xulosasiga quyidagi shartlarda ALLAMURODOV MUHAMMAD YOQUB O‘G‘LIga mikroqarz berish masalasi kiritiladi:</v>
      </c>
      <c r="B37" s="270"/>
      <c r="C37" s="270"/>
      <c r="D37" s="270"/>
      <c r="E37" s="270"/>
    </row>
    <row r="38" spans="1:5" x14ac:dyDescent="0.25">
      <c r="A38" s="270" t="str">
        <f>A11</f>
        <v>Mikroqarz summasi: 52 000 000,00 (ellik ikki million so'm) so'm.</v>
      </c>
      <c r="B38" s="270"/>
      <c r="C38" s="270"/>
      <c r="D38" s="270"/>
      <c r="E38" s="270"/>
    </row>
    <row r="39" spans="1:5" x14ac:dyDescent="0.25">
      <c r="A39" s="270" t="str">
        <f t="shared" ref="A39:A45" si="0">A12</f>
        <v>Mikroqarz muddati: 36 (O'ttiz olti  ) oy.</v>
      </c>
      <c r="B39" s="270"/>
      <c r="C39" s="270"/>
      <c r="D39" s="270"/>
      <c r="E39" s="270"/>
    </row>
    <row r="40" spans="1:5" x14ac:dyDescent="0.25">
      <c r="A40" s="270" t="str">
        <f t="shared" si="0"/>
        <v>Mikroqarzdan foydalanganlik uchun foiz stavkasi: yillik  55% (Ellik besh  ) foiz</v>
      </c>
      <c r="B40" s="270"/>
      <c r="C40" s="270"/>
      <c r="D40" s="270"/>
      <c r="E40" s="270"/>
    </row>
    <row r="41" spans="1:5" x14ac:dyDescent="0.25">
      <c r="A41" s="270" t="str">
        <f t="shared" si="0"/>
        <v>Mikroqarz bo'yicha asosiy qarz va foizlarni to'lash:</v>
      </c>
      <c r="B41" s="270"/>
      <c r="C41" s="270"/>
      <c r="D41" s="270"/>
      <c r="E41" s="270"/>
    </row>
    <row r="42" spans="1:5" ht="20.25" customHeight="1" x14ac:dyDescent="0.25">
      <c r="A42" s="270" t="str">
        <f t="shared" si="0"/>
        <v xml:space="preserve"> - mikroqarz shartnomasi bo'yicha har oy differensial to'lovlari amalga oshiriladi</v>
      </c>
      <c r="B42" s="270"/>
      <c r="C42" s="270"/>
      <c r="D42" s="270"/>
      <c r="E42" s="270"/>
    </row>
    <row r="43" spans="1:5" ht="35.25" customHeight="1" x14ac:dyDescent="0.25">
      <c r="A43" s="270" t="str">
        <f t="shared" si="0"/>
        <v xml:space="preserve">   </v>
      </c>
      <c r="B43" s="270"/>
      <c r="C43" s="270"/>
      <c r="D43" s="270"/>
      <c r="E43" s="270"/>
    </row>
    <row r="44" spans="1:5" ht="22.5" customHeight="1" x14ac:dyDescent="0.25">
      <c r="A44" s="270" t="str">
        <f t="shared" si="0"/>
        <v>Mikroqarz ta’minoti::</v>
      </c>
      <c r="B44" s="270"/>
      <c r="C44" s="270"/>
      <c r="D44" s="270"/>
      <c r="E44" s="270"/>
    </row>
    <row r="45" spans="1:5" ht="69" customHeight="1" x14ac:dyDescent="0.25">
      <c r="A45" s="270" t="str">
        <f t="shared" si="0"/>
        <v>1.   Egalik huquqi RO'ZIYEV ODILJON OLIMJONOVICHga tegishli bo'lgan garovga olingan avtomobil markasi   SPARK, rangi -  OQ BELAYA, ishlab chiqarilgan yili - 2018, davlat raqam belgisi 80F845XA, kuzov turi - YENGIL SEDAN, kuzov raqami XWBMF48NEJA525204, dvigatel raqami B15D212181062B8JX0417, shassi raqami - RAKAMSIZ</v>
      </c>
      <c r="B45" s="270"/>
      <c r="C45" s="270"/>
      <c r="D45" s="270"/>
      <c r="E45" s="270"/>
    </row>
    <row r="46" spans="1:5" x14ac:dyDescent="0.25">
      <c r="A46" s="270"/>
      <c r="B46" s="270"/>
      <c r="C46" s="270"/>
      <c r="D46" s="270"/>
      <c r="E46" s="270"/>
    </row>
    <row r="47" spans="1:5" ht="33.75" customHeight="1" x14ac:dyDescent="0.25">
      <c r="A47" s="270" t="str">
        <f>""&amp;'Общие данные'!B158&amp;" mikromoliya tashkilotining xulosasi  "&amp;TEXT('Общие данные'!B2,"ДД.ММ.ГГГГ")&amp;" y. tayyorlangan"</f>
        <v>«PULLOL BUSINESS MIKROMOLIYA TASHKILOTI»  MChJ mikromoliya tashkilotining xulosasi  07.04.2026 y. tayyorlangan</v>
      </c>
      <c r="B47" s="270"/>
      <c r="C47" s="270"/>
      <c r="D47" s="270"/>
      <c r="E47" s="270"/>
    </row>
    <row r="48" spans="1:5" x14ac:dyDescent="0.25">
      <c r="A48" s="270"/>
      <c r="B48" s="270"/>
      <c r="C48" s="270"/>
      <c r="D48" s="270"/>
      <c r="E48" s="270"/>
    </row>
    <row r="49" spans="1:5" x14ac:dyDescent="0.25">
      <c r="A49" s="271"/>
      <c r="B49" s="271"/>
      <c r="C49" s="271"/>
      <c r="D49" s="19"/>
      <c r="E49" s="20"/>
    </row>
    <row r="50" spans="1:5" ht="21.75" customHeight="1" x14ac:dyDescent="0.25">
      <c r="A50" s="271" t="str">
        <f>'Общие данные'!A171</f>
        <v>Buxoro filiali boshlig’i</v>
      </c>
      <c r="B50" s="271"/>
      <c r="C50" s="271"/>
      <c r="D50" s="20"/>
      <c r="E50" s="19" t="str">
        <f>'Общие данные'!B171</f>
        <v>Ikromov B.A.</v>
      </c>
    </row>
    <row r="51" spans="1:5" x14ac:dyDescent="0.25">
      <c r="A51" s="270"/>
      <c r="B51" s="270"/>
      <c r="C51" s="270"/>
      <c r="D51" s="270"/>
      <c r="E51" s="270"/>
    </row>
    <row r="52" spans="1:5" ht="59.25" customHeight="1" x14ac:dyDescent="0.25">
      <c r="A52" s="270" t="str">
        <f>""&amp;'Общие данные'!B158&amp;" mikromoliya tashkilotining Kredit qo‘mitasi a’zolari "&amp;'Общие данные'!B158&amp;"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52" s="270"/>
      <c r="C52" s="270"/>
      <c r="D52" s="270"/>
      <c r="E52" s="270"/>
    </row>
    <row r="53" spans="1:5" x14ac:dyDescent="0.25">
      <c r="A53" s="17" t="s">
        <v>380</v>
      </c>
      <c r="B53" s="310"/>
      <c r="C53" s="310"/>
      <c r="D53" s="17"/>
      <c r="E53" s="17"/>
    </row>
    <row r="54" spans="1:5" x14ac:dyDescent="0.25">
      <c r="C54" s="34"/>
    </row>
    <row r="55" spans="1:5" ht="33" customHeight="1" x14ac:dyDescent="0.25">
      <c r="A55" s="191" t="str">
        <f>'Общие данные'!A172</f>
        <v>Kredit bo'limi menejeri</v>
      </c>
      <c r="B55" s="34"/>
      <c r="C55" s="34"/>
      <c r="D55" s="34" t="str">
        <f>'Общие данные'!B172</f>
        <v>Eshbekov S. O.</v>
      </c>
    </row>
    <row r="56" spans="1:5" x14ac:dyDescent="0.25">
      <c r="A56" s="191"/>
      <c r="B56" s="34"/>
      <c r="C56" s="34"/>
      <c r="D56" s="34"/>
    </row>
    <row r="57" spans="1:5" x14ac:dyDescent="0.25">
      <c r="A57" s="191"/>
      <c r="B57" s="121"/>
      <c r="C57" s="34"/>
      <c r="D57" s="34"/>
    </row>
    <row r="58" spans="1:5" x14ac:dyDescent="0.25">
      <c r="A58" s="191"/>
      <c r="B58" s="34"/>
      <c r="C58" s="34"/>
      <c r="D58" s="34"/>
    </row>
    <row r="59" spans="1:5" ht="29.25" x14ac:dyDescent="0.25">
      <c r="A59" s="191" t="str">
        <f>'Общие данные'!A170</f>
        <v xml:space="preserve">Kreditlash bo’limi boshlig’i </v>
      </c>
      <c r="B59" s="34"/>
      <c r="C59" s="34"/>
      <c r="D59" s="34" t="str">
        <f>'Общие данные'!B170</f>
        <v>Akramov R.N.</v>
      </c>
    </row>
    <row r="60" spans="1:5" x14ac:dyDescent="0.25">
      <c r="A60" s="191"/>
      <c r="B60" s="34"/>
      <c r="C60" s="34"/>
      <c r="D60" s="34"/>
    </row>
    <row r="61" spans="1:5" x14ac:dyDescent="0.25">
      <c r="A61" s="191"/>
      <c r="B61" s="34"/>
      <c r="C61" s="34"/>
      <c r="D61" s="34"/>
    </row>
    <row r="62" spans="1:5" hidden="1" x14ac:dyDescent="0.25">
      <c r="A62" s="191"/>
      <c r="B62" s="34"/>
      <c r="C62" s="34"/>
      <c r="D62" s="34"/>
    </row>
    <row r="63" spans="1:5" hidden="1" x14ac:dyDescent="0.25">
      <c r="A63" s="191" t="str">
        <f>'Общие данные'!A171</f>
        <v>Buxoro filiali boshlig’i</v>
      </c>
      <c r="B63" s="34"/>
      <c r="C63" s="34"/>
      <c r="D63" s="34" t="str">
        <f>'Общие данные'!B171</f>
        <v>Ikromov B.A.</v>
      </c>
    </row>
    <row r="64" spans="1:5" hidden="1" x14ac:dyDescent="0.25">
      <c r="A64" s="191"/>
      <c r="B64" s="34"/>
      <c r="C64" s="34"/>
      <c r="D64" s="34"/>
    </row>
    <row r="65" spans="1:4" x14ac:dyDescent="0.25">
      <c r="A65" s="191"/>
      <c r="B65" s="34"/>
      <c r="C65" s="34"/>
      <c r="D65" s="34"/>
    </row>
    <row r="66" spans="1:4" x14ac:dyDescent="0.25">
      <c r="A66" s="191"/>
      <c r="B66" s="34"/>
      <c r="C66" s="34"/>
      <c r="D66" s="34"/>
    </row>
    <row r="67" spans="1:4" x14ac:dyDescent="0.25">
      <c r="A67" s="121" t="s">
        <v>454</v>
      </c>
      <c r="B67" s="34"/>
      <c r="C67" s="34"/>
      <c r="D67" s="34" t="str">
        <f>'Общие данные'!B161</f>
        <v>Mominov B. X.</v>
      </c>
    </row>
  </sheetData>
  <mergeCells count="51">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49:C49"/>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s>
  <pageMargins left="0.7" right="0.7" top="0.75" bottom="0.75" header="0.3" footer="0.3"/>
  <pageSetup paperSize="9" scale="84" orientation="portrait" r:id="rId1"/>
  <rowBreaks count="1" manualBreakCount="1">
    <brk id="3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tabColor rgb="FF00B050"/>
  </sheetPr>
  <dimension ref="A1:K132"/>
  <sheetViews>
    <sheetView view="pageBreakPreview" zoomScaleNormal="55" zoomScaleSheetLayoutView="100" workbookViewId="0">
      <selection activeCell="A7" sqref="A7:B7"/>
    </sheetView>
  </sheetViews>
  <sheetFormatPr defaultColWidth="9.140625" defaultRowHeight="15.75" x14ac:dyDescent="0.2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x14ac:dyDescent="0.25">
      <c r="A1" s="313" t="str">
        <f>""&amp;'Общие данные'!C64&amp;" shartnoma "&amp;'Общие данные'!B66&amp;""</f>
        <v>Mikroqarz shartnoma № 323-BR</v>
      </c>
      <c r="B1" s="313"/>
    </row>
    <row r="3" spans="1:3" x14ac:dyDescent="0.25">
      <c r="A3" s="313" t="str">
        <f>"Toshkent shahri                                                                               "&amp;'Общие данные'!B70&amp;""</f>
        <v>Toshkent shahri                                                                               7 aprel 2026 y.</v>
      </c>
      <c r="B3" s="313"/>
    </row>
    <row r="4" spans="1:3" x14ac:dyDescent="0.25">
      <c r="A4" s="61"/>
    </row>
    <row r="5" spans="1:3" ht="118.5" customHeight="1" x14ac:dyDescent="0.25">
      <c r="A5" s="305" t="str">
        <f>""&amp;'Общие данные'!B158&amp;", bundan buyon «Mikromoliya tashkiloti» deb nomlanuvchi, Nizom, Litsenziya va ishonchnoma asosida faoliyat yurituvchi "&amp;'Общие данные'!A171&amp;" "&amp;'Общие данные'!B171&amp;"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«PULLOL BUSINESS MIKROMOLIYA TASHKILOTI»  MChJ, bundan buyon «Mikromoliya tashkiloti» deb nomlanuvchi, Nizom, Litsenziya va ishonchnoma asosida faoliyat yurituvchi Buxoro filiali boshlig’i Ikromov B.A.  bir tomondan va o‘z manfaati yo‘lida hamda o‘z nomidan harakat qiluvchi O‘zbekiston Respublikasi fuqarosi ALLAMURODOV MUHAMMAD YOQUB O‘G‘LI  (pasport raqami AD 9213848 , IIV 61013  tomonidan 31.10.2024 yilda berilgan ), bundan buyon «Qarz oluvchi» deb nomlanuvchi, boshqa tomondan, birgalikda “Tomonlar” yoki alohida “Tomon” deb nomlanuvchilar, Qarz oluvchi tomonidan 07.04.2026 yil,mikroqarz olish uchun ariza berilganligini hisobga olib, ushbu Mikroqarz shartnomasini (bundan keyin – «Shartnoma») quyidagilar haqida tuzdilar:</v>
      </c>
      <c r="B5" s="305"/>
    </row>
    <row r="6" spans="1:3" hidden="1" x14ac:dyDescent="0.25"/>
    <row r="7" spans="1:3" x14ac:dyDescent="0.25">
      <c r="A7" s="313" t="s">
        <v>254</v>
      </c>
      <c r="B7" s="313"/>
    </row>
    <row r="8" spans="1:3" ht="36" customHeight="1" x14ac:dyDescent="0.25">
      <c r="A8" s="305" t="str">
        <f>"1.1. Mikromoliya tashkiloti Qarz oluvchiga umumiy miqdori "&amp;FIXED('Общие данные'!B76,2)&amp;" ("&amp;'Общие данные'!C77&amp;") bo‘lgan "&amp;'Общие данные'!B65&amp;"ni "&amp;'Общие данные'!B71&amp;" dan "&amp;'Общие данные'!B73&amp;" gacha bo'lgan muddatga naqd pul va/yoki o'tkazmasi shaklida ajratadi."</f>
        <v>1.1. Mikromoliya tashkiloti Qarz oluvchiga umumiy miqdori 52 000 000,00 (Ellik ikki million so'm) bo‘lgan mikroqarzni 7 aprel 2026 y. dan 7 aprel 2029 y. gacha bo'lgan muddatga naqd pul va/yoki o'tkazmasi shaklida ajratadi.</v>
      </c>
      <c r="B8" s="305"/>
    </row>
    <row r="9" spans="1:3" ht="36" customHeight="1" x14ac:dyDescent="0.25">
      <c r="A9" s="305"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5"/>
    </row>
    <row r="10" spans="1:3" hidden="1" x14ac:dyDescent="0.25">
      <c r="A10" s="29"/>
    </row>
    <row r="11" spans="1:3" x14ac:dyDescent="0.25">
      <c r="A11" s="312" t="str">
        <f>"2. "&amp;'Общие данные'!D64&amp;" BERISH VA QAYTARISH TARTIBI"</f>
        <v>2. MIKROQARZ BERISH VA QAYTARISH TARTIBI</v>
      </c>
      <c r="B11" s="312"/>
      <c r="C11" s="59"/>
    </row>
    <row r="12" spans="1:3" ht="36" customHeight="1" x14ac:dyDescent="0.25">
      <c r="A12" s="305"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5"/>
    </row>
    <row r="13" spans="1:3" ht="35.25" customHeight="1" x14ac:dyDescent="0.25">
      <c r="A13" s="305"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5"/>
    </row>
    <row r="14" spans="1:3" ht="35.25" customHeight="1" x14ac:dyDescent="0.25">
      <c r="A14" s="305"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5"/>
    </row>
    <row r="15" spans="1:3" ht="81" customHeight="1" x14ac:dyDescent="0.25">
      <c r="A15" s="305" t="str">
        <f>"2.4. Mikromoliya tashkiloti, "&amp;'Общие данные'!B65&amp;" berilgan vaqtdan boshlab, "&amp;'Общие данные'!B65&amp;" miqdorining qoldiq summasiga "&amp;'Общие данные'!B86&amp;"% ("&amp;'Общие данные'!C87&amp;")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данные'!B89&amp;"% ("&amp;'Общие данные'!B90&amp;") foiz miqdorida foizlar hisoblaydi____________________."</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155% (bir yuz ellik besh) foiz miqdorida foizlar hisoblaydi____________________.</v>
      </c>
      <c r="B15" s="305"/>
    </row>
    <row r="16" spans="1:3" ht="161.25" customHeight="1" x14ac:dyDescent="0.25">
      <c r="A16" s="305" t="s">
        <v>319</v>
      </c>
      <c r="B16" s="305"/>
    </row>
    <row r="17" spans="1:11" ht="148.5" customHeight="1" x14ac:dyDescent="0.25">
      <c r="A17" s="305"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5"/>
      <c r="C17" s="143" t="s">
        <v>322</v>
      </c>
      <c r="H17" s="6" t="str">
        <f>'Общие данные'!B65</f>
        <v>mikroqarz</v>
      </c>
      <c r="I17" s="6" t="s">
        <v>323</v>
      </c>
    </row>
    <row r="18" spans="1:11" ht="100.5" customHeight="1" x14ac:dyDescent="0.25">
      <c r="A18" s="315" t="s">
        <v>360</v>
      </c>
      <c r="B18" s="315"/>
    </row>
    <row r="19" spans="1:11" ht="36" customHeight="1" x14ac:dyDescent="0.25">
      <c r="A19" s="305"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5"/>
    </row>
    <row r="20" spans="1:11" ht="39.75" customHeight="1" x14ac:dyDescent="0.25">
      <c r="A20" s="305"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5"/>
    </row>
    <row r="21" spans="1:11" ht="95.25" customHeight="1" x14ac:dyDescent="0.25">
      <c r="A21" s="305"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5"/>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312" t="str">
        <f>"3. "&amp;'Общие данные'!D64&amp;" TA'MINOTI BO‘YICHA "</f>
        <v xml:space="preserve">3. MIKROQARZ TA'MINOTI BO‘YICHA </v>
      </c>
      <c r="B22" s="312"/>
    </row>
    <row r="23" spans="1:11" ht="54" customHeight="1" x14ac:dyDescent="0.25">
      <c r="A23" s="305" t="str">
        <f>"3.1. Ushbu Shartnoma bo‘yicha taqdim etilgan "&amp;'Общие данные'!C64&amp;" quyidagi "&amp;'Общие данные'!C64&amp;"  summasiga nisbatan 140% dan kam bo'lmagan, yani birgalikdagi jami qiymati "&amp;FIXED('Общие данные'!C75,2)&amp;" ("&amp;'Общие данные'!D75&amp;") so'm miqdorida bo'lgan garov va "&amp;'Общие данные'!C64&amp;"  to'lamaslik xavfini sug'urta polisi  bilan ta'minlanadi:"</f>
        <v>3.1. Ushbu Shartnoma bo‘yicha taqdim etilgan Mikroqarz quyidagi Mikroqarz  summasiga nisbatan 140% dan kam bo'lmagan, yani birgalikdagi jami qiymati 72 800 000,00 (yetmish ikki million sakkiz yuz ming so'm) so'm miqdorida bo'lgan garov va Mikroqarz  to'lamaslik xavfini sug'urta polisi  bilan ta'minlanadi:</v>
      </c>
      <c r="B23" s="305"/>
    </row>
    <row r="24" spans="1:11" s="189" customFormat="1" ht="130.5" customHeight="1" x14ac:dyDescent="0.25">
      <c r="A24" s="319" t="str">
        <f>IF('Общие данные'!B110='Общие данные'!C110,договор!A28,IF('Общие данные'!B110='Общие данные'!D110,договор!A25,0))</f>
        <v>3.1.1. Mikromoliya tashkiloti, Qarz oluvchi va ALLAMURODOV ALISHER YOQUBOVICH (07.04.2026 yy. sanasidagi reestr raqami №202602372001231 bo'lgan Ishonchnomaga asosan) tomonidan 2026 yil 7 aprelda imzolangan 1-sonli garov predmeti qiymatini tasdiqlash dalolatnomasiga muvofiq OQ BELAYA rangli, ishlab chiqarilgan yili – 2018 yil,  dvigatel raqami B15D212181062B8JX0417, shassi - RAKAMSIZ,  kuzov turi - YENGIL SEDAN, kuzov raqami №XWBMF48NEJA525204, davlat raqam belgisi 80F845XA bo'lgan SPARK rusumli avtomashinasi (bundan keyin “Garov predmeti”), egalik huquqiga ega  RO'ZIYEV ODILJON OLIMJONOVICHga tegishli va kelishilgan garov qiymati 2026 yil 7 aprelda imzolangan 1-sonli Garov predmeti qiymatini tasdiqlash dalolatnomasiga muvifiq 49 000 000,00 (qirq to'qqiz million so'm) so'mni tashkil qiladi. Garov garovining aniq shartlari tegishli notarial rasmiylashtirilgan garov shartnomasi bilan belgilanadi.</v>
      </c>
      <c r="B24" s="319"/>
    </row>
    <row r="25" spans="1:11" s="189" customFormat="1" ht="114" hidden="1" customHeight="1" x14ac:dyDescent="0.25">
      <c r="A25" s="321" t="str">
        <f>IF('Общие данные'!B99='Общие данные'!C99,договор!A27,IF('Общие данные'!B99='Общие данные'!D99,договор!A26,0))</f>
        <v>3.1.1. Mikromoliya tashkiloti, Qarz oluvchi va ALLAMURODOV ALISHER YOQUBOVICH (07.04.2026 yy. sanasidagi reestr raqami №202602372001231 bo'lgan Ishonchnomaga asosan) tomonidan 2026 yil 7 aprelda imzolangan 1-sonli Garov predmeti qiymatini tasdiqlash dalolatnomasiga muvofiq  manzilida joylashgan, 0 bo'lgan, 0 ko'rinishidagi ko'chmas mulk (bundan keyin “Garov predmeti”), egalik huquqiga ko'ra  0ga tegishli va kelishilgan garov qiymati 2026 yil 7 aprelda imzolangan 1-sonli Garov predmeti qiymatini tasdiqlash dalolatnomasiga muvofiq 49 000 000,00 (qirq to'qqiz million so'm) so'mni tashkil qiladi. Garovning aniq shartlari tegishli tarzda notarial tasdiqlangan garov shartnomasi bilan belgilangan.</v>
      </c>
      <c r="B25" s="321"/>
    </row>
    <row r="26" spans="1:11" s="189" customFormat="1" ht="114" hidden="1" customHeight="1" x14ac:dyDescent="0.25">
      <c r="A26" s="319" t="str">
        <f>"3.1.1. "&amp;'Общие данные'!N133&amp;" tomonidan "&amp;'Общие данные'!B150&amp;" yil "&amp;'Общие данные'!B152&amp;" "&amp;'Общие данные'!B151&amp;"da imzolangan 1-sonli navbatdagi garov predmeti qiymatini tasdiqlash dalolatnomasiga muvofiq "&amp;'Общие данные'!C130&amp;" manzilida joylashgan, "&amp;'Общие данные'!E133&amp;" bo'lgan, "&amp;'Общие данные'!E132&amp;" ko'rinishidagi ko'chmas mulk (bundan keyin “navbatdagi garov predmeti”), egalik huquqiga ko'ra  "&amp;'Общие данные'!C124&amp;"ga tegishli va kelishilgan garov qiymati "&amp;'Общие данные'!B150&amp;" yil "&amp;'Общие данные'!B152&amp;" "&amp;'Общие данные'!B151&amp;"da imzolangan 1-sonli Garov predmeti qiymatini tasdiqlash dalolatnomasiga muvofiq "&amp;FIXED('Общие данные'!B143,2)&amp;" ("&amp;'Общие данные'!B145&amp;") so'mni tashkil qiladi. Garovning aniq shartlari tegishli tarzda notarial tasdiqlangan garov shartnomasi bilan belgilangan."</f>
        <v>3.1.1. Mikromoliya tashkiloti, Qarz oluvchi va ALLAMURODOV ALISHER YOQUBOVICH (07.04.2026 yy. sanasidagi reestr raqami №202602372001231 bo'lgan Ishonchnomaga asosan) tomonidan 2026 yil 7 aprelda imzolangan 1-sonli navbatdagi garov predmeti qiymatini tasdiqlash dalolatnomasiga muvofiq  manzilida joylashgan, 0 bo'lgan, 0 ko'rinishidagi ko'chmas mulk (bundan keyin “navbatdagi garov predmeti”), egalik huquqiga ko'ra  0ga tegishli va kelishilgan garov qiymati 2026 yil 7 aprelda imzolangan 1-sonli Garov predmeti qiymatini tasdiqlash dalolatnomasiga muvofiq 49 000 000,00 (qirq to'qqiz million so'm) so'mni tashkil qiladi. Garovning aniq shartlari tegishli tarzda notarial tasdiqlangan garov shartnomasi bilan belgilangan.</v>
      </c>
      <c r="B26" s="319"/>
    </row>
    <row r="27" spans="1:11" s="189" customFormat="1" ht="114" hidden="1" customHeight="1" x14ac:dyDescent="0.25">
      <c r="A27" s="321" t="str">
        <f>"3.1.1. "&amp;'Общие данные'!N133&amp;" tomonidan "&amp;'Общие данные'!B150&amp;" yil "&amp;'Общие данные'!B152&amp;" "&amp;'Общие данные'!B151&amp;"da imzolangan 1-sonli Garov predmeti qiymatini tasdiqlash dalolatnomasiga muvofiq "&amp;'Общие данные'!C130&amp;" manzilida joylashgan, "&amp;'Общие данные'!E133&amp;" bo'lgan, "&amp;'Общие данные'!E132&amp;" ko'rinishidagi ko'chmas mulk (bundan keyin “Garov predmeti”), egalik huquqiga ko'ra  "&amp;'Общие данные'!C124&amp;"ga tegishli va kelishilgan garov qiymati "&amp;'Общие данные'!B150&amp;" yil "&amp;'Общие данные'!B152&amp;" "&amp;'Общие данные'!B151&amp;"da imzolangan 1-sonli Garov predmeti qiymatini tasdiqlash dalolatnomasiga muvofiq "&amp;FIXED('Общие данные'!B143,2)&amp;" ("&amp;'Общие данные'!B145&amp;") so'mni tashkil qiladi. Garovning aniq shartlari tegishli tarzda notarial tasdiqlangan garov shartnomasi bilan belgilangan."</f>
        <v>3.1.1. Mikromoliya tashkiloti, Qarz oluvchi va ALLAMURODOV ALISHER YOQUBOVICH (07.04.2026 yy. sanasidagi reestr raqami №202602372001231 bo'lgan Ishonchnomaga asosan) tomonidan 2026 yil 7 aprelda imzolangan 1-sonli Garov predmeti qiymatini tasdiqlash dalolatnomasiga muvofiq  manzilida joylashgan, 0 bo'lgan, 0 ko'rinishidagi ko'chmas mulk (bundan keyin “Garov predmeti”), egalik huquqiga ko'ra  0ga tegishli va kelishilgan garov qiymati 2026 yil 7 aprelda imzolangan 1-sonli Garov predmeti qiymatini tasdiqlash dalolatnomasiga muvofiq 49 000 000,00 (qirq to'qqiz million so'm) so'mni tashkil qiladi. Garovning aniq shartlari tegishli tarzda notarial tasdiqlangan garov shartnomasi bilan belgilangan.</v>
      </c>
      <c r="B27" s="321"/>
    </row>
    <row r="28" spans="1:11" s="189" customFormat="1" ht="114" hidden="1" customHeight="1" x14ac:dyDescent="0.25">
      <c r="A28" s="319" t="str">
        <f>IF('Общие данные'!B99='Общие данные'!C99,A29,IF('Общие данные'!B99='Общие данные'!D99,A30,0))</f>
        <v>3.1.1. Mikromoliya tashkiloti, Qarz oluvchi va ALLAMURODOV ALISHER YOQUBOVICH (07.04.2026 yy. sanasidagi reestr raqami №202602372001231 bo'lgan Ishonchnomaga asosan) tomonidan 2026 yil 7 aprelda imzolangan 1-sonli garov predmeti qiymatini tasdiqlash dalolatnomasiga muvofiq OQ BELAYA rangli, ishlab chiqarilgan yili – 2018 yil,  dvigatel raqami B15D212181062B8JX0417, shassi - RAKAMSIZ,  kuzov turi - YENGIL SEDAN, kuzov raqami №XWBMF48NEJA525204, davlat raqam belgisi 80F845XA bo'lgan SPARK rusumli avtomashinasi (bundan keyin “Garov predmeti”), egalik huquqiga ega  RO'ZIYEV ODILJON OLIMJONOVICHga tegishli va kelishilgan garov qiymati 2026 yil 7 aprelda imzolangan 1-sonli Garov predmeti qiymatini tasdiqlash dalolatnomasiga muvifiq 49 000 000,00 (qirq to'qqiz million so'm) so'mni tashkil qiladi. Garov garovining aniq shartlari tegishli notarial rasmiylashtirilgan garov shartnomasi bilan belgilanadi.</v>
      </c>
      <c r="B28" s="319"/>
      <c r="K28" s="189" t="s">
        <v>316</v>
      </c>
    </row>
    <row r="29" spans="1:11" s="189" customFormat="1" ht="114" hidden="1" customHeight="1" x14ac:dyDescent="0.25">
      <c r="A29" s="319" t="str">
        <f>"3.1.1. "&amp;'Общие данные'!N133&amp;" tomonidan "&amp;'Общие данные'!B150&amp;" yil "&amp;'Общие данные'!B152&amp;" "&amp;'Общие данные'!B151&amp;"da imzolangan 1-sonli garov predmeti qiymatini tasdiqlash dalolatnomasiga muvofiq "&amp;'Общие данные'!B141&amp;" rangli, ishlab chiqarilgan yili – "&amp;'Общие данные'!B142&amp;" yil,  dvigatel raqami "&amp;'Общие данные'!B138&amp;", shassi - "&amp;'Общие данные'!B139&amp;",  kuzov turi - "&amp;'Общие данные'!B135&amp;", kuzov raqami №"&amp;'Общие данные'!B136&amp;", davlat raqam belgisi "&amp;'Общие данные'!B133&amp;" bo'lgan "&amp;'Общие данные'!B132&amp;" rusumli avtomashinasi (bundan keyin “Garov predmeti”), egalik huquqiga ega  "&amp;'Общие данные'!B124&amp;"ga tegishli va kelishilgan garov qiymati "&amp;'Общие данные'!B150&amp;" yil "&amp;'Общие данные'!B152&amp;" "&amp;'Общие данные'!B151&amp;"da imzolangan 1-sonli Garov predmeti qiymatini tasdiqlash dalolatnomasiga muvifiq "&amp;FIXED('Общие данные'!B143,2)&amp;" ("&amp;'Общие данные'!B145&amp;") so'mni tashkil qiladi. Garov garovining aniq shartlari tegishli notarial rasmiylashtirilgan garov shartnomasi bilan belgilanadi."</f>
        <v>3.1.1. Mikromoliya tashkiloti, Qarz oluvchi va ALLAMURODOV ALISHER YOQUBOVICH (07.04.2026 yy. sanasidagi reestr raqami №202602372001231 bo'lgan Ishonchnomaga asosan) tomonidan 2026 yil 7 aprelda imzolangan 1-sonli garov predmeti qiymatini tasdiqlash dalolatnomasiga muvofiq OQ BELAYA rangli, ishlab chiqarilgan yili – 2018 yil,  dvigatel raqami B15D212181062B8JX0417, shassi - RAKAMSIZ,  kuzov turi - YENGIL SEDAN, kuzov raqami №XWBMF48NEJA525204, davlat raqam belgisi 80F845XA bo'lgan SPARK rusumli avtomashinasi (bundan keyin “Garov predmeti”), egalik huquqiga ega  RO'ZIYEV ODILJON OLIMJONOVICHga tegishli va kelishilgan garov qiymati 2026 yil 7 aprelda imzolangan 1-sonli Garov predmeti qiymatini tasdiqlash dalolatnomasiga muvifiq 49 000 000,00 (qirq to'qqiz million so'm) so'mni tashkil qiladi. Garov garovining aniq shartlari tegishli notarial rasmiylashtirilgan garov shartnomasi bilan belgilanadi.</v>
      </c>
      <c r="B29" s="319"/>
    </row>
    <row r="30" spans="1:11" s="189" customFormat="1" ht="114" hidden="1" customHeight="1" x14ac:dyDescent="0.25">
      <c r="A30" s="319" t="str">
        <f>"3.1.1. "&amp;'Общие данные'!N133&amp;" tomonidan "&amp;'Общие данные'!B150&amp;" yil "&amp;'Общие данные'!B152&amp;" "&amp;'Общие данные'!B151&amp;"da imzolangan 1-sonli navbatdagi garov predmeti qiymatini tasdiqlash dalolatnomasiga muvofiq "&amp;'Общие данные'!B141&amp;" rangli, ishlab chiqarilgan yili – "&amp;'Общие данные'!B142&amp;" yil,  dvigatel raqami "&amp;'Общие данные'!B138&amp;", shassi - "&amp;'Общие данные'!B139&amp;",  kuzov turi - "&amp;'Общие данные'!B135&amp;", kuzov raqami №"&amp;'Общие данные'!B136&amp;", davlat raqam belgisi "&amp;'Общие данные'!B133&amp;" bo'lgan "&amp;'Общие данные'!B132&amp;" rusumli avtomashinasi (bundan keyin “navbatdagi garov predmeti”), egalik huquqiga ega  "&amp;'Общие данные'!B124&amp;"ga tegishli va kelishilgan garov qiymati "&amp;'Общие данные'!B150&amp;" yil "&amp;'Общие данные'!B152&amp;" "&amp;'Общие данные'!B151&amp;"da imzolangan 1-sonli Garov predmeti qiymatini tasdiqlash dalolatnomasiga muvifiq "&amp;FIXED('Общие данные'!B143,2)&amp;" ("&amp;'Общие данные'!B145&amp;") so'mni tashkil qiladi. Garov garovining aniq shartlari tegishli notarial rasmiylashtirilgan garov shartnomasi bilan belgilanadi."</f>
        <v>3.1.1. Mikromoliya tashkiloti, Qarz oluvchi va ALLAMURODOV ALISHER YOQUBOVICH (07.04.2026 yy. sanasidagi reestr raqami №202602372001231 bo'lgan Ishonchnomaga asosan) tomonidan 2026 yil 7 aprelda imzolangan 1-sonli navbatdagi garov predmeti qiymatini tasdiqlash dalolatnomasiga muvofiq OQ BELAYA rangli, ishlab chiqarilgan yili – 2018 yil,  dvigatel raqami B15D212181062B8JX0417, shassi - RAKAMSIZ,  kuzov turi - YENGIL SEDAN, kuzov raqami №XWBMF48NEJA525204, davlat raqam belgisi 80F845XA bo'lgan SPARK rusumli avtomashinasi (bundan keyin “navbatdagi garov predmeti”), egalik huquqiga ega  RO'ZIYEV ODILJON OLIMJONOVICHga tegishli va kelishilgan garov qiymati 2026 yil 7 aprelda imzolangan 1-sonli Garov predmeti qiymatini tasdiqlash dalolatnomasiga muvifiq 49 000 000,00 (qirq to'qqiz million so'm) so'mni tashkil qiladi. Garov garovining aniq shartlari tegishli notarial rasmiylashtirilgan garov shartnomasi bilan belgilanadi.</v>
      </c>
      <c r="B30" s="319"/>
    </row>
    <row r="31" spans="1:11" s="189" customFormat="1" ht="113.45" customHeight="1" x14ac:dyDescent="0.25">
      <c r="A31" s="319" t="str">
        <f>CONCATENATE(C31,D31)</f>
        <v>3.1.2. «АО СК "IMPEX INSURANCE"» АJ sug‘urta kompaniyasi (keyingi o'rinlarda-Sug‘urtalovchi) tomonidan Mikroqarz to'lamaslik xavfini Mikroqarz  summasiga nisbatan 140% dan hisoblab 23 800 000,00(yigirma uch million sakkiz yuz ming so'm) so ' m miqdoriga sug’urta qilish. Ushbu shartnoma bo‘yicha Mikroqarz berilgunga qadar Mikromoliya tashkiloti Sug‘urtalovchi 23 800 000,00(yigirma uch million sakkiz yuz ming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319"/>
      <c r="C31" s="189" t="str">
        <f>"3.1.2. «"&amp;'Общие данные'!B154&amp;"» АJ sug‘urta kompaniyasi (keyingi o'rinlarda-Sug‘urtalovchi) tomonidan "&amp;'Общие данные'!C64&amp;" to'lamaslik xavfini "&amp;'Общие данные'!C64&amp;"  summasiga nisbatan 140% dan hisoblab "&amp;FIXED('Общие данные'!B155,2)&amp;"("&amp;'Общие данные'!B156&amp;") so ' m miqdoriga sug’urta qilish."</f>
        <v>3.1.2. «АО СК "IMPEX INSURANCE"» АJ sug‘urta kompaniyasi (keyingi o'rinlarda-Sug‘urtalovchi) tomonidan Mikroqarz to'lamaslik xavfini Mikroqarz  summasiga nisbatan 140% dan hisoblab 23 800 000,00(yigirma uch million sakkiz yuz ming so'm) so ' m miqdoriga sug’urta qilish.</v>
      </c>
      <c r="D31" s="189" t="str">
        <f>CONCATENATE(E31,F31)</f>
        <v xml:space="preserve"> Ushbu shartnoma bo‘yicha Mikroqarz berilgunga qadar Mikromoliya tashkiloti Sug‘urtalovchi 23 800 000,00(yigirma uch million sakkiz yuz ming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189" t="str">
        <f>" Ushbu shartnoma bo‘yicha "&amp;'Общие данные'!C64&amp;" berilgunga qadar Mikromoliya tashkiloti Sug‘urtalovchi "&amp;FIXED('Общие данные'!B155,2)&amp;"("&amp;'Общие данные'!B156&amp;") so ' m miqdoridagi "&amp;'Общие данные'!C64&amp;""</f>
        <v xml:space="preserve"> Ushbu shartnoma bo‘yicha Mikroqarz berilgunga qadar Mikromoliya tashkiloti Sug‘urtalovchi 23 800 000,00(yigirma uch million sakkiz yuz ming so'm) so ' m miqdoridagi Mikroqarz</v>
      </c>
      <c r="F31" s="189" t="s">
        <v>368</v>
      </c>
    </row>
    <row r="32" spans="1:11" ht="117" customHeight="1" x14ac:dyDescent="0.25">
      <c r="A32" s="318"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318"/>
    </row>
    <row r="33" spans="1:8" ht="94.5" hidden="1" x14ac:dyDescent="0.25">
      <c r="A33" s="146" t="s">
        <v>342</v>
      </c>
      <c r="B33" s="29"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46"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4" s="29" t="s">
        <v>325</v>
      </c>
    </row>
    <row r="35" spans="1:8" ht="71.25" customHeight="1" x14ac:dyDescent="0.25">
      <c r="A35" s="318" t="s">
        <v>255</v>
      </c>
      <c r="B35" s="318"/>
    </row>
    <row r="36" spans="1:8" ht="84" customHeight="1" x14ac:dyDescent="0.25">
      <c r="A36" s="318" t="s">
        <v>304</v>
      </c>
      <c r="B36" s="318"/>
    </row>
    <row r="37" spans="1:8" ht="114.6" customHeight="1" x14ac:dyDescent="0.25">
      <c r="A37" s="305" t="s">
        <v>369</v>
      </c>
      <c r="B37" s="305"/>
    </row>
    <row r="38" spans="1:8" hidden="1" x14ac:dyDescent="0.25"/>
    <row r="39" spans="1:8" x14ac:dyDescent="0.25">
      <c r="A39" s="317" t="s">
        <v>303</v>
      </c>
      <c r="B39" s="317"/>
      <c r="C39" s="66"/>
    </row>
    <row r="40" spans="1:8" x14ac:dyDescent="0.25">
      <c r="A40" s="320" t="s">
        <v>302</v>
      </c>
      <c r="B40" s="320"/>
    </row>
    <row r="41" spans="1:8" ht="116.25" customHeight="1" x14ac:dyDescent="0.25">
      <c r="A41" s="318"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qoplanadi________________.</v>
      </c>
      <c r="B41" s="318"/>
      <c r="C41" s="6" t="str">
        <f>"4.1.1. Ushbu Shartnomada ko‘rsatilgan asoslar bo‘yicha Qarz oluvchiga Shartnomada ko‘zda tutilgan "&amp;'Общие данные'!B65&amp;""</f>
        <v>4.1.1. Ushbu Shartnomada ko‘rsatilgan asoslar bo‘yicha Qarz oluvchiga Shartnomada ko‘zda tutilgan mikroqarz</v>
      </c>
      <c r="H41" s="143" t="s">
        <v>450</v>
      </c>
    </row>
    <row r="42" spans="1:8" ht="39" customHeight="1" x14ac:dyDescent="0.25">
      <c r="A42" s="318"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318"/>
    </row>
    <row r="43" spans="1:8" x14ac:dyDescent="0.25">
      <c r="A43" s="318" t="s">
        <v>305</v>
      </c>
      <c r="B43" s="318"/>
    </row>
    <row r="44" spans="1:8" ht="30" customHeight="1" x14ac:dyDescent="0.25">
      <c r="A44" s="318" t="str">
        <f>"b) "&amp;'Общие данные'!B65&amp;" summasiga hisoblanadigan asosiy qarz bo‘yicha muddati o‘tgan qarzdorlik va/yoki foizlarning yuzaga kelishi;"</f>
        <v>b) mikroqarz summasiga hisoblanadigan asosiy qarz bo‘yicha muddati o‘tgan qarzdorlik va/yoki foizlarning yuzaga kelishi;</v>
      </c>
      <c r="B44" s="318"/>
    </row>
    <row r="45" spans="1:8" ht="37.5" customHeight="1" x14ac:dyDescent="0.25">
      <c r="A45" s="318" t="s">
        <v>306</v>
      </c>
      <c r="B45" s="318"/>
    </row>
    <row r="46" spans="1:8" ht="52.5" customHeight="1" x14ac:dyDescent="0.25">
      <c r="A46" s="318" t="s">
        <v>307</v>
      </c>
      <c r="B46" s="318"/>
    </row>
    <row r="47" spans="1:8" ht="19.5" customHeight="1" x14ac:dyDescent="0.25">
      <c r="A47" s="318" t="s">
        <v>308</v>
      </c>
      <c r="B47" s="318"/>
    </row>
    <row r="48" spans="1:8" ht="51.75" customHeight="1" x14ac:dyDescent="0.25">
      <c r="A48" s="318"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318"/>
    </row>
    <row r="49" spans="1:8" ht="33.75" customHeight="1" x14ac:dyDescent="0.25">
      <c r="A49" s="318" t="s">
        <v>301</v>
      </c>
      <c r="B49" s="318"/>
    </row>
    <row r="50" spans="1:8" ht="36.75" customHeight="1" x14ac:dyDescent="0.25">
      <c r="A50" s="318" t="s">
        <v>300</v>
      </c>
      <c r="B50" s="318"/>
      <c r="C50" s="146"/>
    </row>
    <row r="51" spans="1:8" ht="90" customHeight="1" x14ac:dyDescent="0.25">
      <c r="A51" s="305" t="s">
        <v>299</v>
      </c>
      <c r="B51" s="305"/>
      <c r="C51" s="146"/>
    </row>
    <row r="52" spans="1:8" ht="70.5" customHeight="1" x14ac:dyDescent="0.25">
      <c r="A52" s="305" t="s">
        <v>298</v>
      </c>
      <c r="B52" s="305"/>
      <c r="C52" s="146"/>
    </row>
    <row r="53" spans="1:8" ht="39.75" customHeight="1" x14ac:dyDescent="0.25">
      <c r="A53" s="305"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3" s="305"/>
      <c r="C53" s="146"/>
    </row>
    <row r="54" spans="1:8" ht="33" customHeight="1" x14ac:dyDescent="0.25">
      <c r="A54" s="305" t="s">
        <v>309</v>
      </c>
      <c r="B54" s="305"/>
      <c r="C54" s="146"/>
    </row>
    <row r="55" spans="1:8" ht="39.75" customHeight="1" x14ac:dyDescent="0.25">
      <c r="A55" s="305" t="s">
        <v>297</v>
      </c>
      <c r="B55" s="305"/>
      <c r="C55" s="146"/>
    </row>
    <row r="56" spans="1:8" ht="50.25" customHeight="1" x14ac:dyDescent="0.25">
      <c r="A56" s="305"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305"/>
      <c r="C56" s="146" t="str">
        <f>"4.1.10. Qarz oluvchi taqdim etilgan "&amp;'Общие данные'!B65&amp;"dan Shartnoma tuzilgan kundan boshlab 1 (bir) oy davomida foydalanmagan"</f>
        <v>4.1.10. Qarz oluvchi taqdim etilgan mikroqarzdan Shartnoma tuzilgan kundan boshlab 1 (bir) oy davomida foydalanmagan</v>
      </c>
      <c r="H56" s="6" t="s">
        <v>326</v>
      </c>
    </row>
    <row r="57" spans="1:8" ht="19.5" customHeight="1" x14ac:dyDescent="0.25">
      <c r="A57" s="305" t="str">
        <f>"4.1.11. Oldingi "&amp;'Общие данные'!B65&amp;" to‘liq to‘lanmagunga qadar yangi "&amp;'Общие данные'!B65&amp;" berishni rad etish."</f>
        <v>4.1.11. Oldingi mikroqarz to‘liq to‘lanmagunga qadar yangi mikroqarz berishni rad etish.</v>
      </c>
      <c r="B57" s="305"/>
      <c r="C57" s="146"/>
    </row>
    <row r="58" spans="1:8" hidden="1" x14ac:dyDescent="0.25"/>
    <row r="59" spans="1:8" x14ac:dyDescent="0.25">
      <c r="A59" s="312" t="s">
        <v>296</v>
      </c>
      <c r="B59" s="312"/>
      <c r="C59" s="145"/>
    </row>
    <row r="60" spans="1:8" x14ac:dyDescent="0.25">
      <c r="A60" s="316" t="s">
        <v>295</v>
      </c>
      <c r="B60" s="316"/>
      <c r="C60" s="147"/>
    </row>
    <row r="61" spans="1:8" ht="36" customHeight="1" x14ac:dyDescent="0.25">
      <c r="A61" s="305"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305"/>
      <c r="C61" s="146"/>
    </row>
    <row r="62" spans="1:8" ht="36.75" customHeight="1" x14ac:dyDescent="0.25">
      <c r="A62" s="305"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2" s="305"/>
      <c r="C62" s="146"/>
    </row>
    <row r="63" spans="1:8" ht="17.25" customHeight="1" x14ac:dyDescent="0.25">
      <c r="A63" s="305" t="str">
        <f>"5.1.3. "&amp;'Общие данные'!C64&amp;" xizmatlari ko‘rsatish qoidalari bilan tanishish."</f>
        <v>5.1.3. Mikroqarz xizmatlari ko‘rsatish qoidalari bilan tanishish.</v>
      </c>
      <c r="B63" s="305"/>
      <c r="C63" s="146"/>
    </row>
    <row r="64" spans="1:8" ht="36" customHeight="1" x14ac:dyDescent="0.25">
      <c r="A64" s="305"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4" s="305"/>
      <c r="C64" s="146"/>
    </row>
    <row r="65" spans="1:8" ht="33.75" customHeight="1" x14ac:dyDescent="0.25">
      <c r="A65" s="305" t="s">
        <v>310</v>
      </c>
      <c r="B65" s="305"/>
      <c r="C65" s="146"/>
    </row>
    <row r="66" spans="1:8" x14ac:dyDescent="0.25">
      <c r="A66" s="316" t="s">
        <v>294</v>
      </c>
      <c r="B66" s="316"/>
      <c r="C66" s="147"/>
    </row>
    <row r="67" spans="1:8" ht="37.5" customHeight="1" x14ac:dyDescent="0.25">
      <c r="A67" s="305"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305"/>
      <c r="C67" s="146"/>
    </row>
    <row r="68" spans="1:8" ht="39.75" customHeight="1" x14ac:dyDescent="0.25">
      <c r="A68" s="305" t="s">
        <v>311</v>
      </c>
      <c r="B68" s="305"/>
      <c r="C68" s="146"/>
    </row>
    <row r="69" spans="1:8" ht="27" customHeight="1" x14ac:dyDescent="0.25">
      <c r="A69" s="305" t="str">
        <f>"5.2.3. To‘lov jadvaliga muvofiq "&amp;'Общие данные'!B65&amp;", shuningdek hisoblangan foizlar to‘lovlarini amalga oshirish."</f>
        <v>5.2.3. To‘lov jadvaliga muvofiq mikroqarz, shuningdek hisoblangan foizlar to‘lovlarini amalga oshirish.</v>
      </c>
      <c r="B69" s="305"/>
      <c r="C69" s="146"/>
    </row>
    <row r="70" spans="1:8" ht="84" customHeight="1" x14ac:dyDescent="0.25">
      <c r="A70" s="305"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305"/>
      <c r="C70" s="146" t="s">
        <v>327</v>
      </c>
      <c r="H70"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305" t="s">
        <v>312</v>
      </c>
      <c r="B71" s="305"/>
      <c r="C71" s="146"/>
    </row>
    <row r="72" spans="1:8" ht="36" customHeight="1" x14ac:dyDescent="0.25">
      <c r="A72" s="305"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2" s="305"/>
      <c r="C72" s="146"/>
    </row>
    <row r="73" spans="1:8" ht="51.75" customHeight="1" x14ac:dyDescent="0.25">
      <c r="A73" s="315" t="s">
        <v>328</v>
      </c>
      <c r="B73" s="315"/>
      <c r="C73" s="149"/>
    </row>
    <row r="74" spans="1:8" ht="57" customHeight="1" x14ac:dyDescent="0.25">
      <c r="A74" s="305"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305"/>
      <c r="C74" s="146"/>
    </row>
    <row r="75" spans="1:8" ht="33.75" customHeight="1" x14ac:dyDescent="0.25">
      <c r="A75" s="305"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305"/>
      <c r="C75" s="146"/>
      <c r="H75" s="6" t="s">
        <v>324</v>
      </c>
    </row>
    <row r="76" spans="1:8" ht="68.25" customHeight="1" x14ac:dyDescent="0.25">
      <c r="A76" s="305"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305"/>
      <c r="C76" s="146"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6" s="6" t="s">
        <v>329</v>
      </c>
    </row>
    <row r="77" spans="1:8" hidden="1" x14ac:dyDescent="0.25">
      <c r="A77" s="64"/>
    </row>
    <row r="78" spans="1:8" x14ac:dyDescent="0.25">
      <c r="A78" s="317" t="s">
        <v>293</v>
      </c>
      <c r="B78" s="317"/>
      <c r="C78" s="148"/>
    </row>
    <row r="79" spans="1:8" ht="84" customHeight="1" x14ac:dyDescent="0.25">
      <c r="A79" s="305"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305"/>
      <c r="C79" s="146" t="s">
        <v>330</v>
      </c>
      <c r="H79"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305" t="s">
        <v>292</v>
      </c>
      <c r="B80" s="305"/>
      <c r="C80" s="146"/>
    </row>
    <row r="81" spans="1:3" ht="35.25" customHeight="1" x14ac:dyDescent="0.25">
      <c r="A81" s="305" t="s">
        <v>291</v>
      </c>
      <c r="B81" s="305"/>
      <c r="C81" s="146"/>
    </row>
    <row r="82" spans="1:3" ht="33" customHeight="1" x14ac:dyDescent="0.25">
      <c r="A82" s="305" t="s">
        <v>290</v>
      </c>
      <c r="B82" s="305"/>
      <c r="C82" s="146"/>
    </row>
    <row r="83" spans="1:3" hidden="1" x14ac:dyDescent="0.25"/>
    <row r="84" spans="1:3" x14ac:dyDescent="0.25">
      <c r="A84" s="306" t="s">
        <v>289</v>
      </c>
      <c r="B84" s="306"/>
      <c r="C84" s="60"/>
    </row>
    <row r="85" spans="1:3" ht="147.75" customHeight="1" x14ac:dyDescent="0.25">
      <c r="A85" s="305" t="s">
        <v>288</v>
      </c>
      <c r="B85" s="305"/>
      <c r="C85" s="146"/>
    </row>
    <row r="86" spans="1:3" ht="33.75" customHeight="1" x14ac:dyDescent="0.25">
      <c r="A86" s="305" t="s">
        <v>331</v>
      </c>
      <c r="B86" s="305"/>
      <c r="C86" s="146"/>
    </row>
    <row r="87" spans="1:3" ht="41.25" customHeight="1" x14ac:dyDescent="0.25">
      <c r="A87" s="305" t="s">
        <v>287</v>
      </c>
      <c r="B87" s="305"/>
      <c r="C87" s="146"/>
    </row>
    <row r="88" spans="1:3" ht="36" customHeight="1" x14ac:dyDescent="0.25">
      <c r="A88" s="305" t="s">
        <v>286</v>
      </c>
      <c r="B88" s="305"/>
      <c r="C88" s="146"/>
    </row>
    <row r="89" spans="1:3" hidden="1" x14ac:dyDescent="0.25"/>
    <row r="90" spans="1:3" x14ac:dyDescent="0.25">
      <c r="A90" s="306" t="s">
        <v>285</v>
      </c>
      <c r="B90" s="306"/>
      <c r="C90" s="60"/>
    </row>
    <row r="91" spans="1:3" ht="101.25" customHeight="1" x14ac:dyDescent="0.25">
      <c r="A91" s="305" t="s">
        <v>343</v>
      </c>
      <c r="B91" s="305"/>
      <c r="C91" s="146"/>
    </row>
    <row r="92" spans="1:3" ht="36" customHeight="1" x14ac:dyDescent="0.25">
      <c r="A92" s="305" t="s">
        <v>313</v>
      </c>
      <c r="B92" s="305"/>
      <c r="C92" s="146"/>
    </row>
    <row r="93" spans="1:3" ht="54" customHeight="1" x14ac:dyDescent="0.25">
      <c r="A93" s="305"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305"/>
      <c r="C93" s="146"/>
    </row>
    <row r="94" spans="1:3" hidden="1" x14ac:dyDescent="0.25"/>
    <row r="95" spans="1:3" x14ac:dyDescent="0.25">
      <c r="A95" s="314" t="s">
        <v>284</v>
      </c>
      <c r="B95" s="314"/>
      <c r="C95" s="65"/>
    </row>
    <row r="96" spans="1:3" ht="20.25" customHeight="1" x14ac:dyDescent="0.25">
      <c r="A96" s="305" t="s">
        <v>283</v>
      </c>
      <c r="B96" s="305"/>
      <c r="C96" s="146"/>
    </row>
    <row r="97" spans="1:3" ht="33.75" customHeight="1" x14ac:dyDescent="0.25">
      <c r="A97" s="305"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305"/>
      <c r="C97" s="146"/>
    </row>
    <row r="98" spans="1:3" ht="40.5" customHeight="1" x14ac:dyDescent="0.25">
      <c r="A98" s="305" t="s">
        <v>282</v>
      </c>
      <c r="B98" s="305"/>
      <c r="C98" s="146"/>
    </row>
    <row r="99" spans="1:3" hidden="1" x14ac:dyDescent="0.25"/>
    <row r="100" spans="1:3" x14ac:dyDescent="0.25">
      <c r="A100" s="312" t="s">
        <v>281</v>
      </c>
      <c r="B100" s="312"/>
      <c r="C100" s="59"/>
    </row>
    <row r="101" spans="1:3" ht="66.75" customHeight="1" x14ac:dyDescent="0.25">
      <c r="A101" s="305" t="s">
        <v>280</v>
      </c>
      <c r="B101" s="305"/>
      <c r="C101" s="146"/>
    </row>
    <row r="102" spans="1:3" ht="66" customHeight="1" x14ac:dyDescent="0.25">
      <c r="A102" s="305" t="s">
        <v>279</v>
      </c>
      <c r="B102" s="305"/>
      <c r="C102" s="146"/>
    </row>
    <row r="103" spans="1:3" ht="48" customHeight="1" x14ac:dyDescent="0.25">
      <c r="A103" s="305" t="s">
        <v>278</v>
      </c>
      <c r="B103" s="305"/>
      <c r="C103" s="146"/>
    </row>
    <row r="105" spans="1:3" x14ac:dyDescent="0.25">
      <c r="A105" s="306" t="s">
        <v>277</v>
      </c>
      <c r="B105" s="306"/>
      <c r="C105" s="133"/>
    </row>
    <row r="106" spans="1:3" ht="37.5" customHeight="1" x14ac:dyDescent="0.25">
      <c r="A106" s="305" t="s">
        <v>276</v>
      </c>
      <c r="B106" s="305"/>
      <c r="C106" s="146"/>
    </row>
    <row r="107" spans="1:3" ht="34.5" customHeight="1" x14ac:dyDescent="0.25">
      <c r="A107" s="305" t="s">
        <v>275</v>
      </c>
      <c r="B107" s="305"/>
      <c r="C107" s="146"/>
    </row>
    <row r="108" spans="1:3" ht="66.75" customHeight="1" x14ac:dyDescent="0.25">
      <c r="A108" s="305" t="s">
        <v>274</v>
      </c>
      <c r="B108" s="305"/>
      <c r="C108" s="146"/>
    </row>
    <row r="109" spans="1:3" ht="51" customHeight="1" x14ac:dyDescent="0.25">
      <c r="A109" s="305" t="s">
        <v>273</v>
      </c>
      <c r="B109" s="305"/>
      <c r="C109" s="146"/>
    </row>
    <row r="110" spans="1:3" ht="37.5" customHeight="1" x14ac:dyDescent="0.25">
      <c r="A110" s="305" t="s">
        <v>272</v>
      </c>
      <c r="B110" s="305"/>
      <c r="C110" s="146"/>
    </row>
    <row r="111" spans="1:3" ht="38.25" customHeight="1" x14ac:dyDescent="0.25">
      <c r="A111" s="305" t="s">
        <v>271</v>
      </c>
      <c r="B111" s="305"/>
      <c r="C111" s="146"/>
    </row>
    <row r="112" spans="1:3" ht="21" customHeight="1" x14ac:dyDescent="0.25">
      <c r="A112" s="305" t="s">
        <v>270</v>
      </c>
      <c r="B112" s="305"/>
      <c r="C112" s="146"/>
    </row>
    <row r="113" spans="1:3" ht="26.25" customHeight="1" x14ac:dyDescent="0.25">
      <c r="A113" s="312" t="s">
        <v>314</v>
      </c>
      <c r="B113" s="312"/>
      <c r="C113" s="65"/>
    </row>
    <row r="114" spans="1:3" hidden="1" x14ac:dyDescent="0.25"/>
    <row r="115" spans="1:3" x14ac:dyDescent="0.25">
      <c r="A115" s="179" t="s">
        <v>269</v>
      </c>
      <c r="B115" s="179" t="s">
        <v>268</v>
      </c>
    </row>
    <row r="117" spans="1:3" ht="31.5" x14ac:dyDescent="0.25">
      <c r="A117" s="65" t="str">
        <f>'Общие данные'!B159</f>
        <v>«PULLOL BUSINESS MIKROMOLIYA TASHKILOTI»  MChJ</v>
      </c>
      <c r="B117" s="196" t="str">
        <f>'Общие данные'!B5</f>
        <v>ALLAMURODOV MUHAMMAD YOQUB O‘G‘LI</v>
      </c>
    </row>
    <row r="119" spans="1:3" ht="40.5" customHeight="1" x14ac:dyDescent="0.25">
      <c r="A119" s="180" t="str">
        <f>"Manzil: "&amp;'Общие данные'!B164&amp;""</f>
        <v>Manzil: Toshkent shahri, Yakkasaroy tumani, Rakat ko'chasi, 10 uy, 18 xonadon</v>
      </c>
      <c r="B119" s="180" t="str">
        <f>"Manzil: "&amp;'Общие данные'!B27&amp;""</f>
        <v>Manzil: BUXORO VILOYATI KOGON TUMANI SORG'UN MFY PARAKATI QQ 22-UY</v>
      </c>
    </row>
    <row r="120" spans="1:3" ht="17.25" customHeight="1" x14ac:dyDescent="0.25">
      <c r="A120" s="201" t="str">
        <f>"h/r: "&amp;'Общие данные'!B165&amp;""</f>
        <v>h/r: №20208000405643889001</v>
      </c>
    </row>
    <row r="121" spans="1:3" ht="31.5" x14ac:dyDescent="0.25">
      <c r="A121" s="180" t="str">
        <f>"MFO: "&amp;'Общие данные'!B166&amp;" в "&amp;'Общие данные'!B167&amp;""</f>
        <v>MFO: №01088 в ATB “Kapitalbank” Markaziy amaliyotlar bo'limi</v>
      </c>
      <c r="B121" s="180" t="str">
        <f>"Pasport: "&amp;'Общие данные'!B16&amp;", "&amp;'Общие данные'!B20&amp;""</f>
        <v>Pasport: AD 9213848 , IIV 61013  tomonidan 31.10.2024 yilda berilgan</v>
      </c>
    </row>
    <row r="122" spans="1:3" x14ac:dyDescent="0.25">
      <c r="A122" s="180" t="str">
        <f>"STIR: "&amp;'Общие данные'!B168&amp;""</f>
        <v>STIR: 310430149</v>
      </c>
      <c r="B122" s="61" t="str">
        <f>"Tel: "&amp;'Общие данные'!B40&amp;""</f>
        <v>Tel: 93 137 50 56 KLIENT</v>
      </c>
    </row>
    <row r="123" spans="1:3" x14ac:dyDescent="0.25">
      <c r="A123" s="249" t="str">
        <f>"Tel: 555 100 216"</f>
        <v>Tel: 555 100 216</v>
      </c>
      <c r="B123" s="61" t="str">
        <f>'Общие данные'!B41</f>
        <v>91 247 01 98 UKASI</v>
      </c>
    </row>
    <row r="124" spans="1:3" x14ac:dyDescent="0.25">
      <c r="A124" s="249" t="str">
        <f>"Tel: (97) 714 14 17"</f>
        <v>Tel: (97) 714 14 17</v>
      </c>
      <c r="B124" s="61" t="str">
        <f>'Общие данные'!B42</f>
        <v>93 392 24 05 AYOLI</v>
      </c>
    </row>
    <row r="125" spans="1:3" x14ac:dyDescent="0.25">
      <c r="A125" s="29"/>
    </row>
    <row r="126" spans="1:3" x14ac:dyDescent="0.25">
      <c r="A126" s="249" t="str">
        <f>"Tel: (97) 706 96 65"</f>
        <v>Tel: (97) 706 96 65</v>
      </c>
      <c r="B126" s="313"/>
    </row>
    <row r="127" spans="1:3" x14ac:dyDescent="0.25">
      <c r="B127" s="313"/>
    </row>
    <row r="128" spans="1:3" x14ac:dyDescent="0.25">
      <c r="A128" s="303" t="str">
        <f>'Общие данные'!A161</f>
        <v>Direktor v.v.b.</v>
      </c>
      <c r="B128" s="6" t="str">
        <f>""&amp;'Общие данные'!B7&amp;"     __________________"</f>
        <v>ALLAMURODOV M.Y.     __________________</v>
      </c>
    </row>
    <row r="129" spans="1:2" x14ac:dyDescent="0.25">
      <c r="A129" s="303"/>
      <c r="B129" s="181"/>
    </row>
    <row r="130" spans="1:2" x14ac:dyDescent="0.25">
      <c r="A130" s="29" t="e">
        <f>'Общие данные'!#REF!</f>
        <v>#REF!</v>
      </c>
      <c r="B130" s="6" t="str">
        <f>""&amp;'Общие данные'!C64&amp;" shartnomasining bir nusxasini oldim ______________"</f>
        <v>Mikroqarz shartnomasining bir nusxasini oldim ______________</v>
      </c>
    </row>
    <row r="132" spans="1:2" hidden="1" x14ac:dyDescent="0.25">
      <c r="A132" s="6" t="str">
        <f>"менеджер :   "&amp;'Общие данные'!B172&amp;"______________"</f>
        <v>менеджер :   Eshbekov S. O.______________</v>
      </c>
    </row>
  </sheetData>
  <mergeCells count="101">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52:B52"/>
    <mergeCell ref="A53:B53"/>
    <mergeCell ref="A49:B49"/>
    <mergeCell ref="A48:B48"/>
    <mergeCell ref="A47:B47"/>
    <mergeCell ref="A46:B46"/>
    <mergeCell ref="A45:B45"/>
    <mergeCell ref="A44:B44"/>
    <mergeCell ref="A43:B4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5:B75"/>
    <mergeCell ref="A76:B76"/>
    <mergeCell ref="A78:B78"/>
    <mergeCell ref="A79:B79"/>
    <mergeCell ref="A70:B70"/>
    <mergeCell ref="A71:B71"/>
    <mergeCell ref="A72:B72"/>
    <mergeCell ref="A73:B73"/>
    <mergeCell ref="A74:B74"/>
    <mergeCell ref="A80:B80"/>
    <mergeCell ref="A81:B81"/>
    <mergeCell ref="A82:B82"/>
    <mergeCell ref="A84:B84"/>
    <mergeCell ref="A85:B85"/>
    <mergeCell ref="A92:B92"/>
    <mergeCell ref="A93:B93"/>
    <mergeCell ref="A95:B95"/>
    <mergeCell ref="A96:B96"/>
    <mergeCell ref="A86:B86"/>
    <mergeCell ref="A87:B87"/>
    <mergeCell ref="A88:B88"/>
    <mergeCell ref="A90:B90"/>
    <mergeCell ref="A91:B91"/>
    <mergeCell ref="A108:B108"/>
    <mergeCell ref="A128:A129"/>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s>
  <printOptions horizontalCentered="1"/>
  <pageMargins left="0.70866141732283472" right="0.70866141732283472" top="0.51181102362204722" bottom="0.43307086614173229" header="0.31496062992125984" footer="0.31496062992125984"/>
  <pageSetup paperSize="9" scale="72" orientation="portrait" r:id="rId1"/>
  <rowBreaks count="1" manualBreakCount="1">
    <brk id="20" max="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tabColor rgb="FF00B050"/>
    <pageSetUpPr fitToPage="1"/>
  </sheetPr>
  <dimension ref="A2:P76"/>
  <sheetViews>
    <sheetView view="pageBreakPreview" zoomScaleNormal="100" zoomScaleSheetLayoutView="100" workbookViewId="0">
      <selection activeCell="A73" sqref="A73:C73"/>
    </sheetView>
  </sheetViews>
  <sheetFormatPr defaultColWidth="9.140625" defaultRowHeight="15" outlineLevelCol="1" x14ac:dyDescent="0.25"/>
  <cols>
    <col min="1" max="1" width="9.140625" style="13"/>
    <col min="2" max="2" width="13.7109375" style="13" customWidth="1"/>
    <col min="3" max="3" width="20.140625" style="13" customWidth="1"/>
    <col min="4" max="4" width="20.28515625" style="13" customWidth="1"/>
    <col min="5" max="5" width="19.5703125" style="13" customWidth="1"/>
    <col min="6" max="6" width="18.28515625" style="13" customWidth="1"/>
    <col min="7" max="7" width="10.140625" style="13" customWidth="1" outlineLevel="1"/>
    <col min="8" max="8" width="19.7109375" style="13" customWidth="1"/>
    <col min="9" max="10" width="9.140625" style="13" customWidth="1"/>
    <col min="11" max="16384" width="9.140625" style="13"/>
  </cols>
  <sheetData>
    <row r="2" spans="1:16" x14ac:dyDescent="0.25">
      <c r="A2" s="34"/>
      <c r="B2" s="34"/>
      <c r="C2" s="34"/>
      <c r="D2" s="34"/>
      <c r="E2" s="322"/>
      <c r="F2" s="322"/>
      <c r="G2" s="18"/>
    </row>
    <row r="3" spans="1:16" ht="75" customHeight="1" x14ac:dyDescent="0.25">
      <c r="A3" s="34"/>
      <c r="B3" s="34"/>
      <c r="C3" s="34"/>
      <c r="D3" s="34"/>
      <c r="E3" s="327" t="str">
        <f>""&amp;'Общие данные'!B74&amp;" 
"&amp;'Общие данные'!B65&amp;" shartnomasiga 
1 sonli ilova"</f>
        <v>7 aprel 2026 y.dan № 323-BR 
mikroqarz shartnomasiga 
1 sonli ilova</v>
      </c>
      <c r="F3" s="327"/>
      <c r="G3" s="18"/>
    </row>
    <row r="4" spans="1:16" x14ac:dyDescent="0.25">
      <c r="A4" s="34"/>
      <c r="B4" s="34"/>
      <c r="C4" s="34"/>
      <c r="D4" s="34"/>
      <c r="E4" s="34"/>
      <c r="F4" s="34"/>
    </row>
    <row r="5" spans="1:16" x14ac:dyDescent="0.25">
      <c r="A5" s="323" t="s">
        <v>256</v>
      </c>
      <c r="B5" s="323"/>
      <c r="C5" s="323"/>
      <c r="D5" s="323"/>
      <c r="E5" s="323"/>
      <c r="F5" s="323"/>
    </row>
    <row r="7" spans="1:16" ht="15" customHeight="1" x14ac:dyDescent="0.25">
      <c r="A7" s="324" t="s">
        <v>13</v>
      </c>
      <c r="B7" s="325" t="s">
        <v>257</v>
      </c>
      <c r="C7" s="325" t="s">
        <v>258</v>
      </c>
      <c r="D7" s="326" t="s">
        <v>259</v>
      </c>
      <c r="E7" s="326"/>
      <c r="F7" s="326"/>
    </row>
    <row r="8" spans="1:16" s="14" customFormat="1" x14ac:dyDescent="0.25">
      <c r="A8" s="324"/>
      <c r="B8" s="325"/>
      <c r="C8" s="325"/>
      <c r="D8" s="15" t="s">
        <v>260</v>
      </c>
      <c r="E8" s="15" t="s">
        <v>261</v>
      </c>
      <c r="F8" s="15" t="s">
        <v>262</v>
      </c>
    </row>
    <row r="9" spans="1:16" x14ac:dyDescent="0.25">
      <c r="A9" s="16">
        <v>1</v>
      </c>
      <c r="B9" s="30">
        <f>'График аннуитет.'!B8</f>
        <v>46147</v>
      </c>
      <c r="C9" s="31">
        <f>IF('Общие данные'!$B$78='Общие данные'!$C$78,'График дифференц'!C8,IF('Общие данные'!$B$78='Общие данные'!$D$78,'График аннуитет.'!C8))</f>
        <v>52000000</v>
      </c>
      <c r="D9" s="31">
        <f>IF('Общие данные'!$B$78='Общие данные'!$C$78,'График дифференц'!D8,IF('Общие данные'!$B$78='Общие данные'!$D$78,'График аннуитет.'!D8))</f>
        <v>1444444.44</v>
      </c>
      <c r="E9" s="31">
        <f>IF('Общие данные'!$B$78='Общие данные'!$C$78,'График дифференц'!E8,IF('Общие данные'!$B$78='Общие данные'!$D$78,'График аннуитет.'!E8))</f>
        <v>2193972.48</v>
      </c>
      <c r="F9" s="31">
        <f>IF('Общие данные'!$B$78='Общие данные'!$C$78,'График дифференц'!F8,IF('Общие данные'!$B$78='Общие данные'!$D$78,'График аннуитет.'!F8))</f>
        <v>3638416.92</v>
      </c>
    </row>
    <row r="10" spans="1:16" x14ac:dyDescent="0.25">
      <c r="A10" s="16">
        <v>2</v>
      </c>
      <c r="B10" s="30">
        <f>'График аннуитет.'!B9</f>
        <v>46178</v>
      </c>
      <c r="C10" s="31">
        <f>IF('Общие данные'!$B$78='Общие данные'!$C$78,'График дифференц'!C9,IF('Общие данные'!$B$78='Общие данные'!$D$78,'График аннуитет.'!C9))</f>
        <v>50555555.560000002</v>
      </c>
      <c r="D10" s="31">
        <f>IF('Общие данные'!$B$78='Общие данные'!$C$78,'График дифференц'!D9,IF('Общие данные'!$B$78='Общие данные'!$D$78,'График аннуитет.'!D9))</f>
        <v>1444444.44</v>
      </c>
      <c r="E10" s="31">
        <f>IF('Общие данные'!$B$78='Общие данные'!$C$78,'График дифференц'!E9,IF('Общие данные'!$B$78='Общие данные'!$D$78,'График аннуитет.'!E9))</f>
        <v>2361567.6</v>
      </c>
      <c r="F10" s="31">
        <f>IF('Общие данные'!$B$78='Общие данные'!$C$78,'График дифференц'!F9,IF('Общие данные'!$B$78='Общие данные'!$D$78,'График аннуитет.'!F9))</f>
        <v>3806012.04</v>
      </c>
    </row>
    <row r="11" spans="1:16" x14ac:dyDescent="0.25">
      <c r="A11" s="16">
        <v>3</v>
      </c>
      <c r="B11" s="30">
        <f>'График аннуитет.'!B10</f>
        <v>46209</v>
      </c>
      <c r="C11" s="31">
        <f>IF('Общие данные'!$B$78='Общие данные'!$C$78,'График дифференц'!C10,IF('Общие данные'!$B$78='Общие данные'!$D$78,'График аннуитет.'!C10))</f>
        <v>49111111.120000005</v>
      </c>
      <c r="D11" s="31">
        <f>IF('Общие данные'!$B$78='Общие данные'!$C$78,'График дифференц'!D10,IF('Общие данные'!$B$78='Общие данные'!$D$78,'График аннуитет.'!D10))</f>
        <v>1444444.44</v>
      </c>
      <c r="E11" s="31">
        <f>IF('Общие данные'!$B$78='Общие данные'!$C$78,'График дифференц'!E10,IF('Общие данные'!$B$78='Общие данные'!$D$78,'График аннуитет.'!E10))</f>
        <v>2294094.2399999998</v>
      </c>
      <c r="F11" s="31">
        <f>IF('Общие данные'!$B$78='Общие данные'!$C$78,'График дифференц'!F10,IF('Общие данные'!$B$78='Общие данные'!$D$78,'График аннуитет.'!F10))</f>
        <v>3738538.6799999997</v>
      </c>
    </row>
    <row r="12" spans="1:16" x14ac:dyDescent="0.25">
      <c r="A12" s="16">
        <v>4</v>
      </c>
      <c r="B12" s="30">
        <f>'График аннуитет.'!B11</f>
        <v>46239</v>
      </c>
      <c r="C12" s="31">
        <f>IF('Общие данные'!$B$78='Общие данные'!$C$78,'График дифференц'!C11,IF('Общие данные'!$B$78='Общие данные'!$D$78,'График аннуитет.'!C11))</f>
        <v>47666666.680000007</v>
      </c>
      <c r="D12" s="31">
        <f>IF('Общие данные'!$B$78='Общие данные'!$C$78,'График дифференц'!D11,IF('Общие данные'!$B$78='Общие данные'!$D$78,'График аннуитет.'!D11))</f>
        <v>1444444.44</v>
      </c>
      <c r="E12" s="31">
        <f>IF('Общие данные'!$B$78='Общие данные'!$C$78,'График дифференц'!E11,IF('Общие данные'!$B$78='Общие данные'!$D$78,'График аннуитет.'!E11))</f>
        <v>2154794.4</v>
      </c>
      <c r="F12" s="31">
        <f>IF('Общие данные'!$B$78='Общие данные'!$C$78,'График дифференц'!F11,IF('Общие данные'!$B$78='Общие данные'!$D$78,'График аннуитет.'!F11))</f>
        <v>3599238.84</v>
      </c>
      <c r="H12" s="331" t="s">
        <v>361</v>
      </c>
      <c r="I12" s="331"/>
      <c r="J12" s="331"/>
      <c r="K12" s="331"/>
      <c r="L12" s="331"/>
      <c r="M12" s="331"/>
      <c r="N12" s="331"/>
      <c r="O12" s="331"/>
      <c r="P12" s="331"/>
    </row>
    <row r="13" spans="1:16" x14ac:dyDescent="0.25">
      <c r="A13" s="16">
        <v>5</v>
      </c>
      <c r="B13" s="30">
        <f>'График аннуитет.'!B12</f>
        <v>46272</v>
      </c>
      <c r="C13" s="31">
        <f>IF('Общие данные'!$B$78='Общие данные'!$C$78,'График дифференц'!C12,IF('Общие данные'!$B$78='Общие данные'!$D$78,'График аннуитет.'!C12))</f>
        <v>46222222.24000001</v>
      </c>
      <c r="D13" s="31">
        <f>IF('Общие данные'!$B$78='Общие данные'!$C$78,'График дифференц'!D12,IF('Общие данные'!$B$78='Общие данные'!$D$78,'График аннуитет.'!D12))</f>
        <v>1444444.44</v>
      </c>
      <c r="E13" s="31">
        <f>IF('Общие данные'!$B$78='Общие данные'!$C$78,'График дифференц'!E12,IF('Общие данные'!$B$78='Общие данные'!$D$78,'График аннуитет.'!E12))</f>
        <v>2298447.36</v>
      </c>
      <c r="F13" s="31">
        <f>IF('Общие данные'!$B$78='Общие данные'!$C$78,'График дифференц'!F12,IF('Общие данные'!$B$78='Общие данные'!$D$78,'График аннуитет.'!F12))</f>
        <v>3742891.8</v>
      </c>
      <c r="H13" s="331"/>
      <c r="I13" s="331"/>
      <c r="J13" s="331"/>
      <c r="K13" s="331"/>
      <c r="L13" s="331"/>
      <c r="M13" s="331"/>
      <c r="N13" s="331"/>
      <c r="O13" s="331"/>
      <c r="P13" s="331"/>
    </row>
    <row r="14" spans="1:16" x14ac:dyDescent="0.25">
      <c r="A14" s="16">
        <v>6</v>
      </c>
      <c r="B14" s="30">
        <f>'График аннуитет.'!B13</f>
        <v>46300</v>
      </c>
      <c r="C14" s="31">
        <f>IF('Общие данные'!$B$78='Общие данные'!$C$78,'График дифференц'!C13,IF('Общие данные'!$B$78='Общие данные'!$D$78,'График аннуитет.'!C13))</f>
        <v>44777777.800000012</v>
      </c>
      <c r="D14" s="31">
        <f>IF('Общие данные'!$B$78='Общие данные'!$C$78,'График дифференц'!D13,IF('Общие данные'!$B$78='Общие данные'!$D$78,'График аннуитет.'!D13))</f>
        <v>1444444.44</v>
      </c>
      <c r="E14" s="31">
        <f>IF('Общие данные'!$B$78='Общие данные'!$C$78,'График дифференц'!E13,IF('Общие данные'!$B$78='Общие данные'!$D$78,'График аннуитет.'!E13))</f>
        <v>1889254.08</v>
      </c>
      <c r="F14" s="31">
        <f>IF('Общие данные'!$B$78='Общие данные'!$C$78,'График дифференц'!F13,IF('Общие данные'!$B$78='Общие данные'!$D$78,'График аннуитет.'!F13))</f>
        <v>3333698.52</v>
      </c>
      <c r="H14" s="331"/>
      <c r="I14" s="331"/>
      <c r="J14" s="331"/>
      <c r="K14" s="331"/>
      <c r="L14" s="331"/>
      <c r="M14" s="331"/>
      <c r="N14" s="331"/>
      <c r="O14" s="331"/>
      <c r="P14" s="331"/>
    </row>
    <row r="15" spans="1:16" x14ac:dyDescent="0.25">
      <c r="A15" s="16">
        <v>7</v>
      </c>
      <c r="B15" s="30">
        <f>'График аннуитет.'!B14</f>
        <v>46331</v>
      </c>
      <c r="C15" s="31">
        <f>IF('Общие данные'!$B$78='Общие данные'!$C$78,'График дифференц'!C14,IF('Общие данные'!$B$78='Общие данные'!$D$78,'График аннуитет.'!C14))</f>
        <v>43333333.360000014</v>
      </c>
      <c r="D15" s="31">
        <f>IF('Общие данные'!$B$78='Общие данные'!$C$78,'График дифференц'!D14,IF('Общие данные'!$B$78='Общие данные'!$D$78,'График аннуитет.'!D14))</f>
        <v>1444444.44</v>
      </c>
      <c r="E15" s="31">
        <f>IF('Общие данные'!$B$78='Общие данные'!$C$78,'График дифференц'!E14,IF('Общие данные'!$B$78='Общие данные'!$D$78,'График аннуитет.'!E14))</f>
        <v>2024200.8</v>
      </c>
      <c r="F15" s="31">
        <f>IF('Общие данные'!$B$78='Общие данные'!$C$78,'График дифференц'!F14,IF('Общие данные'!$B$78='Общие данные'!$D$78,'График аннуитет.'!F14))</f>
        <v>3468645.24</v>
      </c>
      <c r="H15" s="331"/>
      <c r="I15" s="331"/>
      <c r="J15" s="331"/>
      <c r="K15" s="331"/>
      <c r="L15" s="331"/>
      <c r="M15" s="331"/>
      <c r="N15" s="331"/>
      <c r="O15" s="331"/>
      <c r="P15" s="331"/>
    </row>
    <row r="16" spans="1:16" x14ac:dyDescent="0.25">
      <c r="A16" s="16">
        <v>8</v>
      </c>
      <c r="B16" s="30">
        <f>'График аннуитет.'!B15</f>
        <v>46363</v>
      </c>
      <c r="C16" s="31">
        <f>IF('Общие данные'!$B$78='Общие данные'!$C$78,'График дифференц'!C15,IF('Общие данные'!$B$78='Общие данные'!$D$78,'График аннуитет.'!C15))</f>
        <v>41888888.920000017</v>
      </c>
      <c r="D16" s="31">
        <f>IF('Общие данные'!$B$78='Общие данные'!$C$78,'График дифференц'!D15,IF('Общие данные'!$B$78='Общие данные'!$D$78,'График аннуитет.'!D15))</f>
        <v>1444444.44</v>
      </c>
      <c r="E16" s="31">
        <f>IF('Общие данные'!$B$78='Общие данные'!$C$78,'График дифференц'!E15,IF('Общие данные'!$B$78='Общие данные'!$D$78,'График аннуитет.'!E15))</f>
        <v>2019847.68</v>
      </c>
      <c r="F16" s="31">
        <f>IF('Общие данные'!$B$78='Общие данные'!$C$78,'График дифференц'!F15,IF('Общие данные'!$B$78='Общие данные'!$D$78,'График аннуитет.'!F15))</f>
        <v>3464292.12</v>
      </c>
      <c r="H16" s="331"/>
      <c r="I16" s="331"/>
      <c r="J16" s="331"/>
      <c r="K16" s="331"/>
      <c r="L16" s="331"/>
      <c r="M16" s="331"/>
      <c r="N16" s="331"/>
      <c r="O16" s="331"/>
      <c r="P16" s="331"/>
    </row>
    <row r="17" spans="1:16" x14ac:dyDescent="0.25">
      <c r="A17" s="16">
        <v>9</v>
      </c>
      <c r="B17" s="30">
        <f>'График аннуитет.'!B16</f>
        <v>46392</v>
      </c>
      <c r="C17" s="31">
        <f>IF('Общие данные'!$B$78='Общие данные'!$C$78,'График дифференц'!C16,IF('Общие данные'!$B$78='Общие данные'!$D$78,'График аннуитет.'!C16))</f>
        <v>40444444.480000019</v>
      </c>
      <c r="D17" s="31">
        <f>IF('Общие данные'!$B$78='Общие данные'!$C$78,'График дифференц'!D16,IF('Общие данные'!$B$78='Общие данные'!$D$78,'График аннуитет.'!D16))</f>
        <v>1444444.44</v>
      </c>
      <c r="E17" s="31">
        <f>IF('Общие данные'!$B$78='Общие данные'!$C$78,'График дифференц'!E16,IF('Общие данные'!$B$78='Общие данные'!$D$78,'График аннуитет.'!E16))</f>
        <v>1767366.72</v>
      </c>
      <c r="F17" s="31">
        <f>IF('Общие данные'!$B$78='Общие данные'!$C$78,'График дифференц'!F16,IF('Общие данные'!$B$78='Общие данные'!$D$78,'График аннуитет.'!F16))</f>
        <v>3211811.16</v>
      </c>
      <c r="H17" s="331"/>
      <c r="I17" s="331"/>
      <c r="J17" s="331"/>
      <c r="K17" s="331"/>
      <c r="L17" s="331"/>
      <c r="M17" s="331"/>
      <c r="N17" s="331"/>
      <c r="O17" s="331"/>
      <c r="P17" s="331"/>
    </row>
    <row r="18" spans="1:16" x14ac:dyDescent="0.25">
      <c r="A18" s="16">
        <v>10</v>
      </c>
      <c r="B18" s="30">
        <f>'График аннуитет.'!B17</f>
        <v>46423</v>
      </c>
      <c r="C18" s="31">
        <f>IF('Общие данные'!$B$78='Общие данные'!$C$78,'График дифференц'!C17,IF('Общие данные'!$B$78='Общие данные'!$D$78,'График аннуитет.'!C17))</f>
        <v>39000000.040000021</v>
      </c>
      <c r="D18" s="31">
        <f>IF('Общие данные'!$B$78='Общие данные'!$C$78,'График дифференц'!D17,IF('Общие данные'!$B$78='Общие данные'!$D$78,'График аннуитет.'!D17))</f>
        <v>1444444.44</v>
      </c>
      <c r="E18" s="31">
        <f>IF('Общие данные'!$B$78='Общие данные'!$C$78,'График дифференц'!E17,IF('Общие данные'!$B$78='Общие данные'!$D$78,'График аннуитет.'!E17))</f>
        <v>1821780.72</v>
      </c>
      <c r="F18" s="31">
        <f>IF('Общие данные'!$B$78='Общие данные'!$C$78,'График дифференц'!F17,IF('Общие данные'!$B$78='Общие данные'!$D$78,'График аннуитет.'!F17))</f>
        <v>3266225.16</v>
      </c>
      <c r="H18" s="331"/>
      <c r="I18" s="331"/>
      <c r="J18" s="331"/>
      <c r="K18" s="331"/>
      <c r="L18" s="331"/>
      <c r="M18" s="331"/>
      <c r="N18" s="331"/>
      <c r="O18" s="331"/>
      <c r="P18" s="331"/>
    </row>
    <row r="19" spans="1:16" x14ac:dyDescent="0.25">
      <c r="A19" s="16">
        <v>11</v>
      </c>
      <c r="B19" s="30">
        <f>'График аннуитет.'!B18</f>
        <v>46451</v>
      </c>
      <c r="C19" s="31">
        <f>IF('Общие данные'!$B$78='Общие данные'!$C$78,'График дифференц'!C18,IF('Общие данные'!$B$78='Общие данные'!$D$78,'График аннуитет.'!C18))</f>
        <v>37555555.600000024</v>
      </c>
      <c r="D19" s="31">
        <f>IF('Общие данные'!$B$78='Общие данные'!$C$78,'График дифференц'!D18,IF('Общие данные'!$B$78='Общие данные'!$D$78,'График аннуитет.'!D18))</f>
        <v>1444444.44</v>
      </c>
      <c r="E19" s="31">
        <f>IF('Общие данные'!$B$78='Общие данные'!$C$78,'График дифференц'!E18,IF('Общие данные'!$B$78='Общие данные'!$D$78,'График аннуитет.'!E18))</f>
        <v>1584535.68</v>
      </c>
      <c r="F19" s="31">
        <f>IF('Общие данные'!$B$78='Общие данные'!$C$78,'График дифференц'!F18,IF('Общие данные'!$B$78='Общие данные'!$D$78,'График аннуитет.'!F18))</f>
        <v>3028980.12</v>
      </c>
      <c r="H19" s="331"/>
      <c r="I19" s="331"/>
      <c r="J19" s="331"/>
      <c r="K19" s="331"/>
      <c r="L19" s="331"/>
      <c r="M19" s="331"/>
      <c r="N19" s="331"/>
      <c r="O19" s="331"/>
      <c r="P19" s="331"/>
    </row>
    <row r="20" spans="1:16" x14ac:dyDescent="0.25">
      <c r="A20" s="16">
        <v>12</v>
      </c>
      <c r="B20" s="30">
        <f>'График аннуитет.'!B19</f>
        <v>46482</v>
      </c>
      <c r="C20" s="31">
        <f>IF('Общие данные'!$B$78='Общие данные'!$C$78,'График дифференц'!C19,IF('Общие данные'!$B$78='Общие данные'!$D$78,'График аннуитет.'!C19))</f>
        <v>36111111.160000026</v>
      </c>
      <c r="D20" s="31">
        <f>IF('Общие данные'!$B$78='Общие данные'!$C$78,'График дифференц'!D19,IF('Общие данные'!$B$78='Общие данные'!$D$78,'График аннуитет.'!D19))</f>
        <v>1444444.44</v>
      </c>
      <c r="E20" s="31">
        <f>IF('Общие данные'!$B$78='Общие данные'!$C$78,'График дифференц'!E19,IF('Общие данные'!$B$78='Общие данные'!$D$78,'График аннуитет.'!E19))</f>
        <v>1686834</v>
      </c>
      <c r="F20" s="31">
        <f>IF('Общие данные'!$B$78='Общие данные'!$C$78,'График дифференц'!F19,IF('Общие данные'!$B$78='Общие данные'!$D$78,'График аннуитет.'!F19))</f>
        <v>3131278.44</v>
      </c>
      <c r="H20" s="331"/>
      <c r="I20" s="331"/>
      <c r="J20" s="331"/>
      <c r="K20" s="331"/>
      <c r="L20" s="331"/>
      <c r="M20" s="331"/>
      <c r="N20" s="331"/>
      <c r="O20" s="331"/>
      <c r="P20" s="331"/>
    </row>
    <row r="21" spans="1:16" x14ac:dyDescent="0.25">
      <c r="A21" s="16">
        <v>13</v>
      </c>
      <c r="B21" s="30">
        <f>'График аннуитет.'!B20</f>
        <v>46512</v>
      </c>
      <c r="C21" s="31">
        <f>IF('Общие данные'!$B$78='Общие данные'!$C$78,'График дифференц'!C20,IF('Общие данные'!$B$78='Общие данные'!$D$78,'График аннуитет.'!C20))</f>
        <v>34666666.720000029</v>
      </c>
      <c r="D21" s="31">
        <f>IF('Общие данные'!$B$78='Общие данные'!$C$78,'График дифференц'!D20,IF('Общие данные'!$B$78='Общие данные'!$D$78,'График аннуитет.'!D20))</f>
        <v>1444444.44</v>
      </c>
      <c r="E21" s="31">
        <f>IF('Общие данные'!$B$78='Общие данные'!$C$78,'График дифференц'!E20,IF('Общие данные'!$B$78='Общие данные'!$D$78,'График аннуитет.'!E20))</f>
        <v>1567123.2000000002</v>
      </c>
      <c r="F21" s="31">
        <f>IF('Общие данные'!$B$78='Общие данные'!$C$78,'График дифференц'!F20,IF('Общие данные'!$B$78='Общие данные'!$D$78,'График аннуитет.'!F20))</f>
        <v>3011567.64</v>
      </c>
      <c r="H21" s="331"/>
      <c r="I21" s="331"/>
      <c r="J21" s="331"/>
      <c r="K21" s="331"/>
      <c r="L21" s="331"/>
      <c r="M21" s="331"/>
      <c r="N21" s="331"/>
      <c r="O21" s="331"/>
      <c r="P21" s="331"/>
    </row>
    <row r="22" spans="1:16" x14ac:dyDescent="0.25">
      <c r="A22" s="16">
        <v>14</v>
      </c>
      <c r="B22" s="30">
        <f>'График аннуитет.'!B21</f>
        <v>46545</v>
      </c>
      <c r="C22" s="31">
        <f>IF('Общие данные'!$B$78='Общие данные'!$C$78,'График дифференц'!C21,IF('Общие данные'!$B$78='Общие данные'!$D$78,'График аннуитет.'!C21))</f>
        <v>33222222.280000027</v>
      </c>
      <c r="D22" s="31">
        <f>IF('Общие данные'!$B$78='Общие данные'!$C$78,'График дифференц'!D21,IF('Общие данные'!$B$78='Общие данные'!$D$78,'График аннуитет.'!D21))</f>
        <v>1444444.44</v>
      </c>
      <c r="E22" s="31">
        <f>IF('Общие данные'!$B$78='Общие данные'!$C$78,'График дифференц'!E21,IF('Общие данные'!$B$78='Общие данные'!$D$78,'График аннуитет.'!E21))</f>
        <v>1652009.0399999998</v>
      </c>
      <c r="F22" s="31">
        <f>IF('Общие данные'!$B$78='Общие данные'!$C$78,'График дифференц'!F21,IF('Общие данные'!$B$78='Общие данные'!$D$78,'График аннуитет.'!F21))</f>
        <v>3096453.4799999995</v>
      </c>
      <c r="H22" s="331"/>
      <c r="I22" s="331"/>
      <c r="J22" s="331"/>
      <c r="K22" s="331"/>
      <c r="L22" s="331"/>
      <c r="M22" s="331"/>
      <c r="N22" s="331"/>
      <c r="O22" s="331"/>
      <c r="P22" s="331"/>
    </row>
    <row r="23" spans="1:16" x14ac:dyDescent="0.25">
      <c r="A23" s="16">
        <v>15</v>
      </c>
      <c r="B23" s="30">
        <f>'График аннуитет.'!B22</f>
        <v>46573</v>
      </c>
      <c r="C23" s="31">
        <f>IF('Общие данные'!$B$78='Общие данные'!$C$78,'График дифференц'!C22,IF('Общие данные'!$B$78='Общие данные'!$D$78,'График аннуитет.'!C22))</f>
        <v>31777777.840000026</v>
      </c>
      <c r="D23" s="31">
        <f>IF('Общие данные'!$B$78='Общие данные'!$C$78,'График дифференц'!D22,IF('Общие данные'!$B$78='Общие данные'!$D$78,'График аннуитет.'!D22))</f>
        <v>1444444.44</v>
      </c>
      <c r="E23" s="31">
        <f>IF('Общие данные'!$B$78='Общие данные'!$C$78,'График дифференц'!E22,IF('Общие данные'!$B$78='Общие данные'!$D$78,'График аннуитет.'!E22))</f>
        <v>1340760.96</v>
      </c>
      <c r="F23" s="31">
        <f>IF('Общие данные'!$B$78='Общие данные'!$C$78,'График дифференц'!F22,IF('Общие данные'!$B$78='Общие данные'!$D$78,'График аннуитет.'!F22))</f>
        <v>2785205.4</v>
      </c>
      <c r="H23" s="331"/>
      <c r="I23" s="331"/>
      <c r="J23" s="331"/>
      <c r="K23" s="331"/>
      <c r="L23" s="331"/>
      <c r="M23" s="331"/>
      <c r="N23" s="331"/>
      <c r="O23" s="331"/>
      <c r="P23" s="331"/>
    </row>
    <row r="24" spans="1:16" x14ac:dyDescent="0.25">
      <c r="A24" s="16">
        <v>16</v>
      </c>
      <c r="B24" s="30">
        <f>'График аннуитет.'!B23</f>
        <v>46604</v>
      </c>
      <c r="C24" s="31">
        <f>IF('Общие данные'!$B$78='Общие данные'!$C$78,'График дифференц'!C23,IF('Общие данные'!$B$78='Общие данные'!$D$78,'График аннуитет.'!C23))</f>
        <v>30333333.400000025</v>
      </c>
      <c r="D24" s="31">
        <f>IF('Общие данные'!$B$78='Общие данные'!$C$78,'График дифференц'!D23,IF('Общие данные'!$B$78='Общие данные'!$D$78,'График аннуитет.'!D23))</f>
        <v>1444444.44</v>
      </c>
      <c r="E24" s="31">
        <f>IF('Общие данные'!$B$78='Общие данные'!$C$78,'График дифференц'!E23,IF('Общие данные'!$B$78='Общие данные'!$D$78,'График аннуитет.'!E23))</f>
        <v>1416940.56</v>
      </c>
      <c r="F24" s="31">
        <f>IF('Общие данные'!$B$78='Общие данные'!$C$78,'График дифференц'!F23,IF('Общие данные'!$B$78='Общие данные'!$D$78,'График аннуитет.'!F23))</f>
        <v>2861385</v>
      </c>
      <c r="H24" s="331"/>
      <c r="I24" s="331"/>
      <c r="J24" s="331"/>
      <c r="K24" s="331"/>
      <c r="L24" s="331"/>
      <c r="M24" s="331"/>
      <c r="N24" s="331"/>
      <c r="O24" s="331"/>
      <c r="P24" s="331"/>
    </row>
    <row r="25" spans="1:16" x14ac:dyDescent="0.25">
      <c r="A25" s="16">
        <v>17</v>
      </c>
      <c r="B25" s="30">
        <f>'График аннуитет.'!B24</f>
        <v>46636</v>
      </c>
      <c r="C25" s="31">
        <f>IF('Общие данные'!$B$78='Общие данные'!$C$78,'График дифференц'!C24,IF('Общие данные'!$B$78='Общие данные'!$D$78,'График аннуитет.'!C24))</f>
        <v>28888888.960000023</v>
      </c>
      <c r="D25" s="31">
        <f>IF('Общие данные'!$B$78='Общие данные'!$C$78,'График дифференц'!D24,IF('Общие данные'!$B$78='Общие данные'!$D$78,'График аннуитет.'!D24))</f>
        <v>1444444.44</v>
      </c>
      <c r="E25" s="31">
        <f>IF('Общие данные'!$B$78='Общие данные'!$C$78,'График дифференц'!E24,IF('Общие данные'!$B$78='Общие данные'!$D$78,'График аннуитет.'!E24))</f>
        <v>1392998.3999999999</v>
      </c>
      <c r="F25" s="31">
        <f>IF('Общие данные'!$B$78='Общие данные'!$C$78,'График дифференц'!F24,IF('Общие данные'!$B$78='Общие данные'!$D$78,'График аннуитет.'!F24))</f>
        <v>2837442.84</v>
      </c>
    </row>
    <row r="26" spans="1:16" x14ac:dyDescent="0.25">
      <c r="A26" s="16">
        <v>18</v>
      </c>
      <c r="B26" s="30">
        <f>'График аннуитет.'!B25</f>
        <v>46665</v>
      </c>
      <c r="C26" s="31">
        <f>IF('Общие данные'!$B$78='Общие данные'!$C$78,'График дифференц'!C25,IF('Общие данные'!$B$78='Общие данные'!$D$78,'График аннуитет.'!C25))</f>
        <v>27444444.520000022</v>
      </c>
      <c r="D26" s="31">
        <f>IF('Общие данные'!$B$78='Общие данные'!$C$78,'График дифференц'!D25,IF('Общие данные'!$B$78='Общие данные'!$D$78,'График аннуитет.'!D25))</f>
        <v>1444444.44</v>
      </c>
      <c r="E26" s="31">
        <f>IF('Общие данные'!$B$78='Общие данные'!$C$78,'График дифференц'!E25,IF('Общие данные'!$B$78='Общие данные'!$D$78,'График аннуитет.'!E25))</f>
        <v>1199284.56</v>
      </c>
      <c r="F26" s="31">
        <f>IF('Общие данные'!$B$78='Общие данные'!$C$78,'График дифференц'!F25,IF('Общие данные'!$B$78='Общие данные'!$D$78,'График аннуитет.'!F25))</f>
        <v>2643729</v>
      </c>
    </row>
    <row r="27" spans="1:16" x14ac:dyDescent="0.25">
      <c r="A27" s="16">
        <f>1+A26</f>
        <v>19</v>
      </c>
      <c r="B27" s="30">
        <f>'График аннуитет.'!B26</f>
        <v>46696</v>
      </c>
      <c r="C27" s="31">
        <f>IF('Общие данные'!$B$78='Общие данные'!$C$78,'График дифференц'!C26,IF('Общие данные'!$B$78='Общие данные'!$D$78,'График аннуитет.'!C26))</f>
        <v>26000000.080000021</v>
      </c>
      <c r="D27" s="31">
        <f>IF('Общие данные'!$B$78='Общие данные'!$C$78,'График дифференц'!D26,IF('Общие данные'!$B$78='Общие данные'!$D$78,'График аннуитет.'!D26))</f>
        <v>1444444.44</v>
      </c>
      <c r="E27" s="31">
        <f>IF('Общие данные'!$B$78='Общие данные'!$C$78,'График дифференц'!E26,IF('Общие данные'!$B$78='Общие данные'!$D$78,'График аннуитет.'!E26))</f>
        <v>1214520.48</v>
      </c>
      <c r="F27" s="31">
        <f>IF('Общие данные'!$B$78='Общие данные'!$C$78,'График дифференц'!F26,IF('Общие данные'!$B$78='Общие данные'!$D$78,'График аннуитет.'!F26))</f>
        <v>2658964.92</v>
      </c>
    </row>
    <row r="28" spans="1:16" x14ac:dyDescent="0.25">
      <c r="A28" s="16">
        <f t="shared" ref="A28:A43" si="0">1+A27</f>
        <v>20</v>
      </c>
      <c r="B28" s="30">
        <f>'График аннуитет.'!B27</f>
        <v>46727</v>
      </c>
      <c r="C28" s="31">
        <f>IF('Общие данные'!$B$78='Общие данные'!$C$78,'График дифференц'!C27,IF('Общие данные'!$B$78='Общие данные'!$D$78,'График аннуитет.'!C27))</f>
        <v>24555555.640000019</v>
      </c>
      <c r="D28" s="31">
        <f>IF('Общие данные'!$B$78='Общие данные'!$C$78,'График дифференц'!D27,IF('Общие данные'!$B$78='Общие данные'!$D$78,'График аннуитет.'!D27))</f>
        <v>1444444.44</v>
      </c>
      <c r="E28" s="31">
        <f>IF('Общие данные'!$B$78='Общие данные'!$C$78,'График дифференц'!E27,IF('Общие данные'!$B$78='Общие данные'!$D$78,'График аннуитет.'!E27))</f>
        <v>1147047.1199999999</v>
      </c>
      <c r="F28" s="31">
        <f>IF('Общие данные'!$B$78='Общие данные'!$C$78,'График дифференц'!F27,IF('Общие данные'!$B$78='Общие данные'!$D$78,'График аннуитет.'!F27))</f>
        <v>2591491.5599999996</v>
      </c>
    </row>
    <row r="29" spans="1:16" x14ac:dyDescent="0.25">
      <c r="A29" s="16">
        <f t="shared" si="0"/>
        <v>21</v>
      </c>
      <c r="B29" s="30">
        <f>'График аннуитет.'!B28</f>
        <v>46757</v>
      </c>
      <c r="C29" s="31">
        <f>IF('Общие данные'!$B$78='Общие данные'!$C$78,'График дифференц'!C28,IF('Общие данные'!$B$78='Общие данные'!$D$78,'График аннуитет.'!C28))</f>
        <v>23111111.200000018</v>
      </c>
      <c r="D29" s="31">
        <f>IF('Общие данные'!$B$78='Общие данные'!$C$78,'График дифференц'!D28,IF('Общие данные'!$B$78='Общие данные'!$D$78,'График аннуитет.'!D28))</f>
        <v>1444444.44</v>
      </c>
      <c r="E29" s="31">
        <f>IF('Общие данные'!$B$78='Общие данные'!$C$78,'График дифференц'!E28,IF('Общие данные'!$B$78='Общие данные'!$D$78,'График аннуитет.'!E28))</f>
        <v>1041894.2999999999</v>
      </c>
      <c r="F29" s="31">
        <f>IF('Общие данные'!$B$78='Общие данные'!$C$78,'График дифференц'!F28,IF('Общие данные'!$B$78='Общие данные'!$D$78,'График аннуитет.'!F28))</f>
        <v>2486338.7399999998</v>
      </c>
    </row>
    <row r="30" spans="1:16" x14ac:dyDescent="0.25">
      <c r="A30" s="16">
        <f t="shared" si="0"/>
        <v>22</v>
      </c>
      <c r="B30" s="30">
        <f>'График аннуитет.'!B29</f>
        <v>46790</v>
      </c>
      <c r="C30" s="31">
        <f>IF('Общие данные'!$B$78='Общие данные'!$C$78,'График дифференц'!C29,IF('Общие данные'!$B$78='Общие данные'!$D$78,'График аннуитет.'!C29))</f>
        <v>21666666.760000017</v>
      </c>
      <c r="D30" s="31">
        <f>IF('Общие данные'!$B$78='Общие данные'!$C$78,'График дифференц'!D29,IF('Общие данные'!$B$78='Общие данные'!$D$78,'График аннуитет.'!D29))</f>
        <v>1444444.44</v>
      </c>
      <c r="E30" s="31">
        <f>IF('Общие данные'!$B$78='Общие данные'!$C$78,'График дифференц'!E29,IF('Общие данные'!$B$78='Общие данные'!$D$78,'График аннуитет.'!E29))</f>
        <v>1074453.6000000001</v>
      </c>
      <c r="F30" s="31">
        <f>IF('Общие данные'!$B$78='Общие данные'!$C$78,'График дифференц'!F29,IF('Общие данные'!$B$78='Общие данные'!$D$78,'График аннуитет.'!F29))</f>
        <v>2518898.04</v>
      </c>
    </row>
    <row r="31" spans="1:16" x14ac:dyDescent="0.25">
      <c r="A31" s="16">
        <f t="shared" si="0"/>
        <v>23</v>
      </c>
      <c r="B31" s="30">
        <f>'График аннуитет.'!B30</f>
        <v>46818</v>
      </c>
      <c r="C31" s="31">
        <f>IF('Общие данные'!$B$78='Общие данные'!$C$78,'График дифференц'!C30,IF('Общие данные'!$B$78='Общие данные'!$D$78,'График аннуитет.'!C30))</f>
        <v>20222222.320000015</v>
      </c>
      <c r="D31" s="31">
        <f>IF('Общие данные'!$B$78='Общие данные'!$C$78,'График дифференц'!D30,IF('Общие данные'!$B$78='Общие данные'!$D$78,'График аннуитет.'!D30))</f>
        <v>1444444.44</v>
      </c>
      <c r="E31" s="31">
        <f>IF('Общие данные'!$B$78='Общие данные'!$C$78,'График дифференц'!E30,IF('Общие данные'!$B$78='Общие данные'!$D$78,'График аннуитет.'!E30))</f>
        <v>850880.52</v>
      </c>
      <c r="F31" s="31">
        <f>IF('Общие данные'!$B$78='Общие данные'!$C$78,'График дифференц'!F30,IF('Общие данные'!$B$78='Общие данные'!$D$78,'График аннуитет.'!F30))</f>
        <v>2295324.96</v>
      </c>
    </row>
    <row r="32" spans="1:16" x14ac:dyDescent="0.25">
      <c r="A32" s="16">
        <f t="shared" si="0"/>
        <v>24</v>
      </c>
      <c r="B32" s="30">
        <f>'График аннуитет.'!B31</f>
        <v>46848</v>
      </c>
      <c r="C32" s="31">
        <f>IF('Общие данные'!$B$78='Общие данные'!$C$78,'График дифференц'!C31,IF('Общие данные'!$B$78='Общие данные'!$D$78,'График аннуитет.'!C31))</f>
        <v>18777777.880000014</v>
      </c>
      <c r="D32" s="31">
        <f>IF('Общие данные'!$B$78='Общие данные'!$C$78,'График дифференц'!D31,IF('Общие данные'!$B$78='Общие данные'!$D$78,'График аннуитет.'!D31))</f>
        <v>1444444.44</v>
      </c>
      <c r="E32" s="31">
        <f>IF('Общие данные'!$B$78='Общие данные'!$C$78,'График дифференц'!E31,IF('Общие данные'!$B$78='Общие данные'!$D$78,'График аннуитет.'!E31))</f>
        <v>846539.10000000009</v>
      </c>
      <c r="F32" s="31">
        <f>IF('Общие данные'!$B$78='Общие данные'!$C$78,'График дифференц'!F31,IF('Общие данные'!$B$78='Общие данные'!$D$78,'График аннуитет.'!F31))</f>
        <v>2290983.54</v>
      </c>
    </row>
    <row r="33" spans="1:6" x14ac:dyDescent="0.25">
      <c r="A33" s="16">
        <f t="shared" si="0"/>
        <v>25</v>
      </c>
      <c r="B33" s="30">
        <f>IF('График аннуитет.'!B32=FALSE,"",'График аннуитет.'!B32)</f>
        <v>46878</v>
      </c>
      <c r="C33" s="31">
        <f>IF('Общие данные'!$B$78='Общие данные'!$C$78,'График дифференц'!C32,IF('Общие данные'!$B$78='Общие данные'!$D$78,'График аннуитет.'!C32))</f>
        <v>17333333.440000013</v>
      </c>
      <c r="D33" s="31">
        <f>IF('Общие данные'!$B$78='Общие данные'!$C$78,'График дифференц'!D32,IF('Общие данные'!$B$78='Общие данные'!$D$78,'График аннуитет.'!D32))</f>
        <v>1444444.44</v>
      </c>
      <c r="E33" s="31">
        <f>IF('Общие данные'!$B$78='Общие данные'!$C$78,'График дифференц'!E32,IF('Общие данные'!$B$78='Общие данные'!$D$78,'График аннуитет.'!E32))</f>
        <v>781420.8</v>
      </c>
      <c r="F33" s="31">
        <f>IF('Общие данные'!$B$78='Общие данные'!$C$78,'График дифференц'!F32,IF('Общие данные'!$B$78='Общие данные'!$D$78,'График аннуитет.'!F32))</f>
        <v>2225865.2400000002</v>
      </c>
    </row>
    <row r="34" spans="1:6" x14ac:dyDescent="0.25">
      <c r="A34" s="16">
        <f t="shared" si="0"/>
        <v>26</v>
      </c>
      <c r="B34" s="30">
        <f>IF('График аннуитет.'!B33=FALSE,"",'График аннуитет.'!B33)</f>
        <v>46909</v>
      </c>
      <c r="C34" s="31">
        <f>IF('Общие данные'!$B$78='Общие данные'!$C$78,'График дифференц'!C33,IF('Общие данные'!$B$78='Общие данные'!$D$78,'График аннуитет.'!C33))</f>
        <v>15888889.000000013</v>
      </c>
      <c r="D34" s="31">
        <f>IF('Общие данные'!$B$78='Общие данные'!$C$78,'График дифференц'!D33,IF('Общие данные'!$B$78='Общие данные'!$D$78,'График аннуитет.'!D33))</f>
        <v>1444444.44</v>
      </c>
      <c r="E34" s="31">
        <f>IF('Общие данные'!$B$78='Общие данные'!$C$78,'График дифференц'!E33,IF('Общие данные'!$B$78='Общие данные'!$D$78,'График аннуитет.'!E33))</f>
        <v>740179.25</v>
      </c>
      <c r="F34" s="31">
        <f>IF('Общие данные'!$B$78='Общие данные'!$C$78,'График дифференц'!F33,IF('Общие данные'!$B$78='Общие данные'!$D$78,'График аннуитет.'!F33))</f>
        <v>2184623.69</v>
      </c>
    </row>
    <row r="35" spans="1:6" x14ac:dyDescent="0.25">
      <c r="A35" s="16">
        <f t="shared" si="0"/>
        <v>27</v>
      </c>
      <c r="B35" s="30">
        <f>IF('График аннуитет.'!B34=FALSE,"",'График аннуитет.'!B34)</f>
        <v>46939</v>
      </c>
      <c r="C35" s="31">
        <f>IF('Общие данные'!$B$78='Общие данные'!$C$78,'График дифференц'!C34,IF('Общие данные'!$B$78='Общие данные'!$D$78,'График аннуитет.'!C34))</f>
        <v>14444444.560000014</v>
      </c>
      <c r="D35" s="31">
        <f>IF('Общие данные'!$B$78='Общие данные'!$C$78,'График дифференц'!D34,IF('Общие данные'!$B$78='Общие данные'!$D$78,'График аннуитет.'!D34))</f>
        <v>1444444.44</v>
      </c>
      <c r="E35" s="31">
        <f>IF('Общие данные'!$B$78='Общие данные'!$C$78,'График дифференц'!E34,IF('Общие данные'!$B$78='Общие данные'!$D$78,'График аннуитет.'!E34))</f>
        <v>651183.9</v>
      </c>
      <c r="F35" s="31">
        <f>IF('Общие данные'!$B$78='Общие данные'!$C$78,'График дифференц'!F34,IF('Общие данные'!$B$78='Общие данные'!$D$78,'График аннуитет.'!F34))</f>
        <v>2095628.3399999999</v>
      </c>
    </row>
    <row r="36" spans="1:6" x14ac:dyDescent="0.25">
      <c r="A36" s="16">
        <f t="shared" si="0"/>
        <v>28</v>
      </c>
      <c r="B36" s="30">
        <f>IF('График аннуитет.'!B35=FALSE,"",'График аннуитет.'!B35)</f>
        <v>46972</v>
      </c>
      <c r="C36" s="31">
        <f>IF('Общие данные'!$B$78='Общие данные'!$C$78,'График дифференц'!C35,IF('Общие данные'!$B$78='Общие данные'!$D$78,'График аннуитет.'!C35))</f>
        <v>13000000.120000014</v>
      </c>
      <c r="D36" s="31">
        <f>IF('Общие данные'!$B$78='Общие данные'!$C$78,'График дифференц'!D35,IF('Общие данные'!$B$78='Общие данные'!$D$78,'График аннуитет.'!D35))</f>
        <v>1444444.44</v>
      </c>
      <c r="E36" s="31">
        <f>IF('Общие данные'!$B$78='Общие данные'!$C$78,'График дифференц'!E35,IF('Общие данные'!$B$78='Общие данные'!$D$78,'График аннуитет.'!E35))</f>
        <v>644672.16</v>
      </c>
      <c r="F36" s="31">
        <f>IF('Общие данные'!$B$78='Общие данные'!$C$78,'График дифференц'!F35,IF('Общие данные'!$B$78='Общие данные'!$D$78,'График аннуитет.'!F35))</f>
        <v>2089116.6</v>
      </c>
    </row>
    <row r="37" spans="1:6" x14ac:dyDescent="0.25">
      <c r="A37" s="16">
        <f t="shared" si="0"/>
        <v>29</v>
      </c>
      <c r="B37" s="30">
        <f>IF('График аннуитет.'!B36=FALSE,"",'График аннуитет.'!B36)</f>
        <v>47001</v>
      </c>
      <c r="C37" s="31">
        <f>IF('Общие данные'!$B$78='Общие данные'!$C$78,'График дифференц'!C36,IF('Общие данные'!$B$78='Общие данные'!$D$78,'График аннуитет.'!C36))</f>
        <v>11555555.680000015</v>
      </c>
      <c r="D37" s="31">
        <f>IF('Общие данные'!$B$78='Общие данные'!$C$78,'График дифференц'!D36,IF('Общие данные'!$B$78='Общие данные'!$D$78,'График аннуитет.'!D36))</f>
        <v>1444444.44</v>
      </c>
      <c r="E37" s="31">
        <f>IF('Общие данные'!$B$78='Общие данные'!$C$78,'График дифференц'!E36,IF('Общие данные'!$B$78='Общие данные'!$D$78,'График аннуитет.'!E36))</f>
        <v>503582.39</v>
      </c>
      <c r="F37" s="31">
        <f>IF('Общие данные'!$B$78='Общие данные'!$C$78,'График дифференц'!F36,IF('Общие данные'!$B$78='Общие данные'!$D$78,'График аннуитет.'!F36))</f>
        <v>1948026.83</v>
      </c>
    </row>
    <row r="38" spans="1:6" x14ac:dyDescent="0.25">
      <c r="A38" s="16">
        <f t="shared" si="0"/>
        <v>30</v>
      </c>
      <c r="B38" s="30">
        <f>IF('График аннуитет.'!B37=FALSE,"",'График аннуитет.'!B37)</f>
        <v>47031</v>
      </c>
      <c r="C38" s="31">
        <f>IF('Общие данные'!$B$78='Общие данные'!$C$78,'График дифференц'!C37,IF('Общие данные'!$B$78='Общие данные'!$D$78,'График аннуитет.'!C37))</f>
        <v>10111111.240000015</v>
      </c>
      <c r="D38" s="31">
        <f>IF('Общие данные'!$B$78='Общие данные'!$C$78,'График дифференц'!D37,IF('Общие данные'!$B$78='Общие данные'!$D$78,'График аннуитет.'!D37))</f>
        <v>1444444.44</v>
      </c>
      <c r="E38" s="31">
        <f>IF('Общие данные'!$B$78='Общие данные'!$C$78,'График дифференц'!E37,IF('Общие данные'!$B$78='Общие данные'!$D$78,'График аннуитет.'!E37))</f>
        <v>455828.7</v>
      </c>
      <c r="F38" s="31">
        <f>IF('Общие данные'!$B$78='Общие данные'!$C$78,'График дифференц'!F37,IF('Общие данные'!$B$78='Общие данные'!$D$78,'График аннуитет.'!F37))</f>
        <v>1900273.14</v>
      </c>
    </row>
    <row r="39" spans="1:6" x14ac:dyDescent="0.25">
      <c r="A39" s="16">
        <f t="shared" si="0"/>
        <v>31</v>
      </c>
      <c r="B39" s="30">
        <f>IF('График аннуитет.'!B38=FALSE,"",'График аннуитет.'!B38)</f>
        <v>47063</v>
      </c>
      <c r="C39" s="31">
        <f>IF('Общие данные'!$B$78='Общие данные'!$C$78,'График дифференц'!C38,IF('Общие данные'!$B$78='Общие данные'!$D$78,'График аннуитет.'!C38))</f>
        <v>8666666.8000000156</v>
      </c>
      <c r="D39" s="31">
        <f>IF('Общие данные'!$B$78='Общие данные'!$C$78,'График дифференц'!D38,IF('Общие данные'!$B$78='Общие данные'!$D$78,'График аннуитет.'!D38))</f>
        <v>1444444.44</v>
      </c>
      <c r="E39" s="31">
        <f>IF('Общие данные'!$B$78='Общие данные'!$C$78,'График дифференц'!E38,IF('Общие данные'!$B$78='Общие данные'!$D$78,'График аннуитет.'!E38))</f>
        <v>416757.76000000001</v>
      </c>
      <c r="F39" s="31">
        <f>IF('Общие данные'!$B$78='Общие данные'!$C$78,'График дифференц'!F38,IF('Общие данные'!$B$78='Общие данные'!$D$78,'График аннуитет.'!F38))</f>
        <v>1861202.2</v>
      </c>
    </row>
    <row r="40" spans="1:6" x14ac:dyDescent="0.25">
      <c r="A40" s="16">
        <f t="shared" si="0"/>
        <v>32</v>
      </c>
      <c r="B40" s="30">
        <f>IF('График аннуитет.'!B39=FALSE,"",'График аннуитет.'!B39)</f>
        <v>47092</v>
      </c>
      <c r="C40" s="31">
        <f>IF('Общие данные'!$B$78='Общие данные'!$C$78,'График дифференц'!C39,IF('Общие данные'!$B$78='Общие данные'!$D$78,'График аннуитет.'!C39))</f>
        <v>7222222.3600000162</v>
      </c>
      <c r="D40" s="31">
        <f>IF('Общие данные'!$B$78='Общие данные'!$C$78,'График дифференц'!D39,IF('Общие данные'!$B$78='Общие данные'!$D$78,'График аннуитет.'!D39))</f>
        <v>1444444.44</v>
      </c>
      <c r="E40" s="31">
        <f>IF('Общие данные'!$B$78='Общие данные'!$C$78,'График дифференц'!E39,IF('Общие данные'!$B$78='Общие данные'!$D$78,'График аннуитет.'!E39))</f>
        <v>314739.02999999997</v>
      </c>
      <c r="F40" s="31">
        <f>IF('Общие данные'!$B$78='Общие данные'!$C$78,'График дифференц'!F39,IF('Общие данные'!$B$78='Общие данные'!$D$78,'График аннуитет.'!F39))</f>
        <v>1759183.47</v>
      </c>
    </row>
    <row r="41" spans="1:6" x14ac:dyDescent="0.25">
      <c r="A41" s="16">
        <f t="shared" si="0"/>
        <v>33</v>
      </c>
      <c r="B41" s="30">
        <f>IF('График аннуитет.'!B40=FALSE,"",'График аннуитет.'!B40)</f>
        <v>47123</v>
      </c>
      <c r="C41" s="31">
        <f>IF('Общие данные'!$B$78='Общие данные'!$C$78,'График дифференц'!C40,IF('Общие данные'!$B$78='Общие данные'!$D$78,'График аннуитет.'!C40))</f>
        <v>5777777.9200000167</v>
      </c>
      <c r="D41" s="31">
        <f>IF('Общие данные'!$B$78='Общие данные'!$C$78,'График дифференц'!D40,IF('Общие данные'!$B$78='Общие данные'!$D$78,'График аннуитет.'!D40))</f>
        <v>1444444.44</v>
      </c>
      <c r="E41" s="31">
        <f>IF('Общие данные'!$B$78='Общие данные'!$C$78,'График дифференц'!E40,IF('Общие данные'!$B$78='Общие данные'!$D$78,'График аннуитет.'!E40))</f>
        <v>269893.44</v>
      </c>
      <c r="F41" s="31">
        <f>IF('Общие данные'!$B$78='Общие данные'!$C$78,'График дифференц'!F40,IF('Общие данные'!$B$78='Общие данные'!$D$78,'График аннуитет.'!F40))</f>
        <v>1714337.88</v>
      </c>
    </row>
    <row r="42" spans="1:6" x14ac:dyDescent="0.25">
      <c r="A42" s="16">
        <f t="shared" si="0"/>
        <v>34</v>
      </c>
      <c r="B42" s="30">
        <f>IF('График аннуитет.'!B41=FALSE,"",'График аннуитет.'!B41)</f>
        <v>47154</v>
      </c>
      <c r="C42" s="31">
        <f>IF('Общие данные'!$B$78='Общие данные'!$C$78,'График дифференц'!C41,IF('Общие данные'!$B$78='Общие данные'!$D$78,'График аннуитет.'!C41))</f>
        <v>4333333.4800000172</v>
      </c>
      <c r="D42" s="31">
        <f>IF('Общие данные'!$B$78='Общие данные'!$C$78,'График дифференц'!D41,IF('Общие данные'!$B$78='Общие данные'!$D$78,'График аннуитет.'!D41))</f>
        <v>1444444.44</v>
      </c>
      <c r="E42" s="31">
        <f>IF('Общие данные'!$B$78='Общие данные'!$C$78,'График дифференц'!E41,IF('Общие данные'!$B$78='Общие данные'!$D$78,'График аннуитет.'!E41))</f>
        <v>202420.08000000002</v>
      </c>
      <c r="F42" s="31">
        <f>IF('Общие данные'!$B$78='Общие данные'!$C$78,'График дифференц'!F41,IF('Общие данные'!$B$78='Общие данные'!$D$78,'График аннуитет.'!F41))</f>
        <v>1646864.52</v>
      </c>
    </row>
    <row r="43" spans="1:6" x14ac:dyDescent="0.25">
      <c r="A43" s="16">
        <f t="shared" si="0"/>
        <v>35</v>
      </c>
      <c r="B43" s="30">
        <f>IF('График аннуитет.'!B42=FALSE,"",'График аннуитет.'!B42)</f>
        <v>47182</v>
      </c>
      <c r="C43" s="31">
        <f>IF('Общие данные'!$B$78='Общие данные'!$C$78,'График дифференц'!C42,IF('Общие данные'!$B$78='Общие данные'!$D$78,'График аннуитет.'!C42))</f>
        <v>2888889.0400000173</v>
      </c>
      <c r="D43" s="31">
        <f>IF('Общие данные'!$B$78='Общие данные'!$C$78,'График дифференц'!D42,IF('Общие данные'!$B$78='Общие данные'!$D$78,'График аннуитет.'!D42))</f>
        <v>1444444.44</v>
      </c>
      <c r="E43" s="31">
        <f>IF('Общие данные'!$B$78='Общие данные'!$C$78,'График дифференц'!E42,IF('Общие данные'!$B$78='Общие данные'!$D$78,'График аннуитет.'!E42))</f>
        <v>121887.36</v>
      </c>
      <c r="F43" s="31">
        <f>IF('Общие данные'!$B$78='Общие данные'!$C$78,'График дифференц'!F42,IF('Общие данные'!$B$78='Общие данные'!$D$78,'График аннуитет.'!F42))</f>
        <v>1566331.8</v>
      </c>
    </row>
    <row r="44" spans="1:6" x14ac:dyDescent="0.25">
      <c r="A44" s="16">
        <f>1+A43</f>
        <v>36</v>
      </c>
      <c r="B44" s="30">
        <f>IF('График аннуитет.'!B43=FALSE,"",'График аннуитет.'!B43)</f>
        <v>47215</v>
      </c>
      <c r="C44" s="31">
        <f>IF('Общие данные'!$B$78='Общие данные'!$C$78,'График дифференц'!C43,IF('Общие данные'!$B$78='Общие данные'!$D$78,'График аннуитет.'!C43))</f>
        <v>1444444.6000000173</v>
      </c>
      <c r="D44" s="31">
        <f>IF('Общие данные'!$B$78='Общие данные'!$C$78,'График дифференц'!D43,IF('Общие данные'!$B$78='Общие данные'!$D$78,'График аннуитет.'!D43))</f>
        <v>1444444.6000000164</v>
      </c>
      <c r="E44" s="31">
        <f>IF('Общие данные'!$B$78='Общие данные'!$C$78,'График дифференц'!E43,IF('Общие данные'!$B$78='Общие данные'!$D$78,'График аннуитет.'!E43))</f>
        <v>71826.48</v>
      </c>
      <c r="F44" s="31">
        <f>IF('Общие данные'!$B$78='Общие данные'!$C$78,'График дифференц'!F43,IF('Общие данные'!$B$78='Общие данные'!$D$78,'График аннуитет.'!F43))</f>
        <v>1516271.0800000164</v>
      </c>
    </row>
    <row r="45" spans="1:6" hidden="1" x14ac:dyDescent="0.25">
      <c r="A45" s="16">
        <f t="shared" ref="A45:A56" si="1">1+A44</f>
        <v>37</v>
      </c>
      <c r="B45" s="30" t="str">
        <f>IF('График аннуитет.'!B44=FALSE,"",'График аннуитет.'!B44)</f>
        <v/>
      </c>
      <c r="C45" s="31">
        <f>IF('Общие данные'!$B$78='Общие данные'!$C$78,'График дифференц'!C44,IF('Общие данные'!$B$78='Общие данные'!$D$78,'График аннуитет.'!C44))</f>
        <v>0</v>
      </c>
      <c r="D45" s="31">
        <f>IF('Общие данные'!$B$78='Общие данные'!$C$78,'График дифференц'!D44,IF('Общие данные'!$B$78='Общие данные'!$D$78,'График аннуитет.'!D44))</f>
        <v>0</v>
      </c>
      <c r="E45" s="31">
        <f>IF('Общие данные'!$B$78='Общие данные'!$C$78,'График дифференц'!E44,IF('Общие данные'!$B$78='Общие данные'!$D$78,'График аннуитет.'!E44))</f>
        <v>0</v>
      </c>
      <c r="F45" s="31">
        <f>IF('Общие данные'!$B$78='Общие данные'!$C$78,'График дифференц'!F44,IF('Общие данные'!$B$78='Общие данные'!$D$78,'График аннуитет.'!F44))</f>
        <v>0</v>
      </c>
    </row>
    <row r="46" spans="1:6" hidden="1" x14ac:dyDescent="0.25">
      <c r="A46" s="16">
        <f t="shared" si="1"/>
        <v>38</v>
      </c>
      <c r="B46" s="30" t="str">
        <f>IF('График аннуитет.'!B45=FALSE,"",'График аннуитет.'!B45)</f>
        <v/>
      </c>
      <c r="C46" s="31">
        <f>IF('Общие данные'!$B$78='Общие данные'!$C$78,'График дифференц'!C45,IF('Общие данные'!$B$78='Общие данные'!$D$78,'График аннуитет.'!C45))</f>
        <v>0</v>
      </c>
      <c r="D46" s="31">
        <f>IF('Общие данные'!$B$78='Общие данные'!$C$78,'График дифференц'!D45,IF('Общие данные'!$B$78='Общие данные'!$D$78,'График аннуитет.'!D45))</f>
        <v>0</v>
      </c>
      <c r="E46" s="31">
        <f>IF('Общие данные'!$B$78='Общие данные'!$C$78,'График дифференц'!E45,IF('Общие данные'!$B$78='Общие данные'!$D$78,'График аннуитет.'!E45))</f>
        <v>0</v>
      </c>
      <c r="F46" s="31">
        <f>IF('Общие данные'!$B$78='Общие данные'!$C$78,'График дифференц'!F45,IF('Общие данные'!$B$78='Общие данные'!$D$78,'График аннуитет.'!F45))</f>
        <v>0</v>
      </c>
    </row>
    <row r="47" spans="1:6" hidden="1" x14ac:dyDescent="0.25">
      <c r="A47" s="16">
        <f t="shared" si="1"/>
        <v>39</v>
      </c>
      <c r="B47" s="30" t="str">
        <f>IF('График аннуитет.'!B46=FALSE,"",'График аннуитет.'!B46)</f>
        <v/>
      </c>
      <c r="C47" s="31">
        <f>IF('Общие данные'!$B$78='Общие данные'!$C$78,'График дифференц'!C46,IF('Общие данные'!$B$78='Общие данные'!$D$78,'График аннуитет.'!C46))</f>
        <v>0</v>
      </c>
      <c r="D47" s="31">
        <f>IF('Общие данные'!$B$78='Общие данные'!$C$78,'График дифференц'!D46,IF('Общие данные'!$B$78='Общие данные'!$D$78,'График аннуитет.'!D46))</f>
        <v>0</v>
      </c>
      <c r="E47" s="31">
        <f>IF('Общие данные'!$B$78='Общие данные'!$C$78,'График дифференц'!E46,IF('Общие данные'!$B$78='Общие данные'!$D$78,'График аннуитет.'!E46))</f>
        <v>0</v>
      </c>
      <c r="F47" s="31">
        <f>IF('Общие данные'!$B$78='Общие данные'!$C$78,'График дифференц'!F46,IF('Общие данные'!$B$78='Общие данные'!$D$78,'График аннуитет.'!F46))</f>
        <v>0</v>
      </c>
    </row>
    <row r="48" spans="1:6" hidden="1" x14ac:dyDescent="0.25">
      <c r="A48" s="16">
        <f t="shared" si="1"/>
        <v>40</v>
      </c>
      <c r="B48" s="30" t="str">
        <f>IF('График аннуитет.'!B47=FALSE,"",'График аннуитет.'!B47)</f>
        <v/>
      </c>
      <c r="C48" s="31">
        <f>IF('Общие данные'!$B$78='Общие данные'!$C$78,'График дифференц'!C47,IF('Общие данные'!$B$78='Общие данные'!$D$78,'График аннуитет.'!C47))</f>
        <v>0</v>
      </c>
      <c r="D48" s="31">
        <f>IF('Общие данные'!$B$78='Общие данные'!$C$78,'График дифференц'!D47,IF('Общие данные'!$B$78='Общие данные'!$D$78,'График аннуитет.'!D47))</f>
        <v>0</v>
      </c>
      <c r="E48" s="31">
        <f>IF('Общие данные'!$B$78='Общие данные'!$C$78,'График дифференц'!E47,IF('Общие данные'!$B$78='Общие данные'!$D$78,'График аннуитет.'!E47))</f>
        <v>0</v>
      </c>
      <c r="F48" s="31">
        <f>IF('Общие данные'!$B$78='Общие данные'!$C$78,'График дифференц'!F47,IF('Общие данные'!$B$78='Общие данные'!$D$78,'График аннуитет.'!F47))</f>
        <v>0</v>
      </c>
    </row>
    <row r="49" spans="1:6" hidden="1" x14ac:dyDescent="0.25">
      <c r="A49" s="16">
        <f t="shared" si="1"/>
        <v>41</v>
      </c>
      <c r="B49" s="30" t="str">
        <f>IF('График аннуитет.'!B48=FALSE,"",'График аннуитет.'!B48)</f>
        <v/>
      </c>
      <c r="C49" s="31">
        <f>IF('Общие данные'!$B$78='Общие данные'!$C$78,'График дифференц'!C48,IF('Общие данные'!$B$78='Общие данные'!$D$78,'График аннуитет.'!C48))</f>
        <v>0</v>
      </c>
      <c r="D49" s="31">
        <f>IF('Общие данные'!$B$78='Общие данные'!$C$78,'График дифференц'!D48,IF('Общие данные'!$B$78='Общие данные'!$D$78,'График аннуитет.'!D48))</f>
        <v>0</v>
      </c>
      <c r="E49" s="31">
        <f>IF('Общие данные'!$B$78='Общие данные'!$C$78,'График дифференц'!E48,IF('Общие данные'!$B$78='Общие данные'!$D$78,'График аннуитет.'!E48))</f>
        <v>0</v>
      </c>
      <c r="F49" s="31">
        <f>IF('Общие данные'!$B$78='Общие данные'!$C$78,'График дифференц'!F48,IF('Общие данные'!$B$78='Общие данные'!$D$78,'График аннуитет.'!F48))</f>
        <v>0</v>
      </c>
    </row>
    <row r="50" spans="1:6" hidden="1" x14ac:dyDescent="0.25">
      <c r="A50" s="16">
        <f t="shared" si="1"/>
        <v>42</v>
      </c>
      <c r="B50" s="30" t="str">
        <f>IF('График аннуитет.'!B49=FALSE,"",'График аннуитет.'!B49)</f>
        <v/>
      </c>
      <c r="C50" s="31">
        <f>IF('Общие данные'!$B$78='Общие данные'!$C$78,'График дифференц'!C49,IF('Общие данные'!$B$78='Общие данные'!$D$78,'График аннуитет.'!C49))</f>
        <v>0</v>
      </c>
      <c r="D50" s="31">
        <f>IF('Общие данные'!$B$78='Общие данные'!$C$78,'График дифференц'!D49,IF('Общие данные'!$B$78='Общие данные'!$D$78,'График аннуитет.'!D49))</f>
        <v>0</v>
      </c>
      <c r="E50" s="31">
        <f>IF('Общие данные'!$B$78='Общие данные'!$C$78,'График дифференц'!E49,IF('Общие данные'!$B$78='Общие данные'!$D$78,'График аннуитет.'!E49))</f>
        <v>0</v>
      </c>
      <c r="F50" s="31">
        <f>IF('Общие данные'!$B$78='Общие данные'!$C$78,'График дифференц'!F49,IF('Общие данные'!$B$78='Общие данные'!$D$78,'График аннуитет.'!F49))</f>
        <v>0</v>
      </c>
    </row>
    <row r="51" spans="1:6" hidden="1" x14ac:dyDescent="0.25">
      <c r="A51" s="16">
        <f t="shared" si="1"/>
        <v>43</v>
      </c>
      <c r="B51" s="30" t="str">
        <f>IF('График аннуитет.'!B50=FALSE,"",'График аннуитет.'!B50)</f>
        <v/>
      </c>
      <c r="C51" s="31">
        <f>IF('Общие данные'!$B$78='Общие данные'!$C$78,'График дифференц'!C50,IF('Общие данные'!$B$78='Общие данные'!$D$78,'График аннуитет.'!C50))</f>
        <v>0</v>
      </c>
      <c r="D51" s="31">
        <f>IF('Общие данные'!$B$78='Общие данные'!$C$78,'График дифференц'!D50,IF('Общие данные'!$B$78='Общие данные'!$D$78,'График аннуитет.'!D50))</f>
        <v>0</v>
      </c>
      <c r="E51" s="31">
        <f>IF('Общие данные'!$B$78='Общие данные'!$C$78,'График дифференц'!E50,IF('Общие данные'!$B$78='Общие данные'!$D$78,'График аннуитет.'!E50))</f>
        <v>0</v>
      </c>
      <c r="F51" s="31">
        <f>IF('Общие данные'!$B$78='Общие данные'!$C$78,'График дифференц'!F50,IF('Общие данные'!$B$78='Общие данные'!$D$78,'График аннуитет.'!F50))</f>
        <v>0</v>
      </c>
    </row>
    <row r="52" spans="1:6" hidden="1" x14ac:dyDescent="0.25">
      <c r="A52" s="16">
        <f t="shared" si="1"/>
        <v>44</v>
      </c>
      <c r="B52" s="30" t="str">
        <f>IF('График аннуитет.'!B51=FALSE,"",'График аннуитет.'!B51)</f>
        <v/>
      </c>
      <c r="C52" s="31">
        <f>IF('Общие данные'!$B$78='Общие данные'!$C$78,'График дифференц'!C51,IF('Общие данные'!$B$78='Общие данные'!$D$78,'График аннуитет.'!C51))</f>
        <v>0</v>
      </c>
      <c r="D52" s="31">
        <f>IF('Общие данные'!$B$78='Общие данные'!$C$78,'График дифференц'!D51,IF('Общие данные'!$B$78='Общие данные'!$D$78,'График аннуитет.'!D51))</f>
        <v>0</v>
      </c>
      <c r="E52" s="31">
        <f>IF('Общие данные'!$B$78='Общие данные'!$C$78,'График дифференц'!E51,IF('Общие данные'!$B$78='Общие данные'!$D$78,'График аннуитет.'!E51))</f>
        <v>0</v>
      </c>
      <c r="F52" s="31">
        <f>IF('Общие данные'!$B$78='Общие данные'!$C$78,'График дифференц'!F51,IF('Общие данные'!$B$78='Общие данные'!$D$78,'График аннуитет.'!F51))</f>
        <v>0</v>
      </c>
    </row>
    <row r="53" spans="1:6" hidden="1" x14ac:dyDescent="0.25">
      <c r="A53" s="16">
        <f t="shared" si="1"/>
        <v>45</v>
      </c>
      <c r="B53" s="30" t="str">
        <f>IF('График аннуитет.'!B52=FALSE,"",'График аннуитет.'!B52)</f>
        <v/>
      </c>
      <c r="C53" s="31">
        <f>IF('Общие данные'!$B$78='Общие данные'!$C$78,'График дифференц'!C52,IF('Общие данные'!$B$78='Общие данные'!$D$78,'График аннуитет.'!C52))</f>
        <v>0</v>
      </c>
      <c r="D53" s="31">
        <f>IF('Общие данные'!$B$78='Общие данные'!$C$78,'График дифференц'!D52,IF('Общие данные'!$B$78='Общие данные'!$D$78,'График аннуитет.'!D52))</f>
        <v>0</v>
      </c>
      <c r="E53" s="31">
        <f>IF('Общие данные'!$B$78='Общие данные'!$C$78,'График дифференц'!E52,IF('Общие данные'!$B$78='Общие данные'!$D$78,'График аннуитет.'!E52))</f>
        <v>0</v>
      </c>
      <c r="F53" s="31">
        <f>IF('Общие данные'!$B$78='Общие данные'!$C$78,'График дифференц'!F52,IF('Общие данные'!$B$78='Общие данные'!$D$78,'График аннуитет.'!F52))</f>
        <v>0</v>
      </c>
    </row>
    <row r="54" spans="1:6" hidden="1" x14ac:dyDescent="0.25">
      <c r="A54" s="16">
        <f t="shared" si="1"/>
        <v>46</v>
      </c>
      <c r="B54" s="30" t="str">
        <f>IF('График аннуитет.'!B53=FALSE,"",'График аннуитет.'!B53)</f>
        <v/>
      </c>
      <c r="C54" s="31">
        <f>IF('Общие данные'!$B$78='Общие данные'!$C$78,'График дифференц'!C53,IF('Общие данные'!$B$78='Общие данные'!$D$78,'График аннуитет.'!C53))</f>
        <v>0</v>
      </c>
      <c r="D54" s="31">
        <f>IF('Общие данные'!$B$78='Общие данные'!$C$78,'График дифференц'!D53,IF('Общие данные'!$B$78='Общие данные'!$D$78,'График аннуитет.'!D53))</f>
        <v>0</v>
      </c>
      <c r="E54" s="31">
        <f>IF('Общие данные'!$B$78='Общие данные'!$C$78,'График дифференц'!E53,IF('Общие данные'!$B$78='Общие данные'!$D$78,'График аннуитет.'!E53))</f>
        <v>0</v>
      </c>
      <c r="F54" s="31">
        <f>IF('Общие данные'!$B$78='Общие данные'!$C$78,'График дифференц'!F53,IF('Общие данные'!$B$78='Общие данные'!$D$78,'График аннуитет.'!F53))</f>
        <v>0</v>
      </c>
    </row>
    <row r="55" spans="1:6" hidden="1" x14ac:dyDescent="0.25">
      <c r="A55" s="16">
        <f t="shared" si="1"/>
        <v>47</v>
      </c>
      <c r="B55" s="30" t="str">
        <f>IF('График аннуитет.'!B54=FALSE,"",'График аннуитет.'!B54)</f>
        <v/>
      </c>
      <c r="C55" s="31">
        <f>IF('Общие данные'!$B$78='Общие данные'!$C$78,'График дифференц'!C54,IF('Общие данные'!$B$78='Общие данные'!$D$78,'График аннуитет.'!C54))</f>
        <v>0</v>
      </c>
      <c r="D55" s="31">
        <f>IF('Общие данные'!$B$78='Общие данные'!$C$78,'График дифференц'!D54,IF('Общие данные'!$B$78='Общие данные'!$D$78,'График аннуитет.'!D54))</f>
        <v>0</v>
      </c>
      <c r="E55" s="31">
        <f>IF('Общие данные'!$B$78='Общие данные'!$C$78,'График дифференц'!E54,IF('Общие данные'!$B$78='Общие данные'!$D$78,'График аннуитет.'!E54))</f>
        <v>0</v>
      </c>
      <c r="F55" s="31">
        <f>IF('Общие данные'!$B$78='Общие данные'!$C$78,'График дифференц'!F54,IF('Общие данные'!$B$78='Общие данные'!$D$78,'График аннуитет.'!F54))</f>
        <v>0</v>
      </c>
    </row>
    <row r="56" spans="1:6" hidden="1" x14ac:dyDescent="0.25">
      <c r="A56" s="16">
        <f t="shared" si="1"/>
        <v>48</v>
      </c>
      <c r="B56" s="30" t="str">
        <f>IF('График аннуитет.'!B55=FALSE,"",'График аннуитет.'!B55)</f>
        <v/>
      </c>
      <c r="C56" s="31">
        <f>IF('Общие данные'!$B$78='Общие данные'!$C$78,'График дифференц'!C55,IF('Общие данные'!$B$78='Общие данные'!$D$78,'График аннуитет.'!C55))</f>
        <v>0</v>
      </c>
      <c r="D56" s="31">
        <f>IF('Общие данные'!$B$78='Общие данные'!$C$78,'График дифференц'!D55,IF('Общие данные'!$B$78='Общие данные'!$D$78,'График аннуитет.'!D55))</f>
        <v>0</v>
      </c>
      <c r="E56" s="31">
        <f>IF('Общие данные'!$B$78='Общие данные'!$C$78,'График дифференц'!E55,IF('Общие данные'!$B$78='Общие данные'!$D$78,'График аннуитет.'!E55))</f>
        <v>0</v>
      </c>
      <c r="F56" s="31">
        <f>IF('Общие данные'!$B$78='Общие данные'!$C$78,'График дифференц'!F55,IF('Общие данные'!$B$78='Общие данные'!$D$78,'График аннуитет.'!F55))</f>
        <v>0</v>
      </c>
    </row>
    <row r="57" spans="1:6" ht="15" customHeight="1" x14ac:dyDescent="0.25">
      <c r="A57" s="43"/>
      <c r="B57" s="44" t="s">
        <v>201</v>
      </c>
      <c r="C57" s="45"/>
      <c r="D57" s="45">
        <f>SUM(D9:D56)</f>
        <v>52000000</v>
      </c>
      <c r="E57" s="45">
        <f t="shared" ref="E57:F57" si="2">SUM(E9:E56)</f>
        <v>44015538.949999981</v>
      </c>
      <c r="F57" s="45">
        <f t="shared" si="2"/>
        <v>96015538.949999988</v>
      </c>
    </row>
    <row r="58" spans="1:6" ht="15" customHeight="1" x14ac:dyDescent="0.25">
      <c r="B58" s="32"/>
      <c r="C58" s="33"/>
      <c r="D58" s="33"/>
      <c r="E58" s="33"/>
      <c r="F58" s="33"/>
    </row>
    <row r="59" spans="1:6" ht="39.75" customHeight="1" x14ac:dyDescent="0.25">
      <c r="A59" s="270"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70"/>
      <c r="C59" s="270"/>
      <c r="D59" s="270"/>
      <c r="E59" s="270"/>
      <c r="F59" s="270"/>
    </row>
    <row r="60" spans="1:6" ht="13.5" customHeight="1" x14ac:dyDescent="0.25"/>
    <row r="61" spans="1:6" ht="15" customHeight="1" x14ac:dyDescent="0.25">
      <c r="A61" s="328" t="s">
        <v>263</v>
      </c>
      <c r="B61" s="328"/>
      <c r="C61" s="328"/>
      <c r="D61" s="328" t="s">
        <v>268</v>
      </c>
      <c r="E61" s="328"/>
      <c r="F61" s="328"/>
    </row>
    <row r="62" spans="1:6" ht="11.25" customHeight="1" x14ac:dyDescent="0.25">
      <c r="A62" s="329"/>
      <c r="B62" s="329"/>
      <c r="C62" s="329"/>
      <c r="D62" s="329"/>
      <c r="E62" s="329"/>
      <c r="F62" s="329"/>
    </row>
    <row r="63" spans="1:6" ht="30" customHeight="1" x14ac:dyDescent="0.25">
      <c r="A63" s="310" t="str">
        <f>договор!A117</f>
        <v>«PULLOL BUSINESS MIKROMOLIYA TASHKILOTI»  MChJ</v>
      </c>
      <c r="B63" s="310"/>
      <c r="C63" s="310"/>
      <c r="D63" s="311" t="str">
        <f>договор!B117</f>
        <v>ALLAMURODOV MUHAMMAD YOQUB O‘G‘LI</v>
      </c>
      <c r="E63" s="311"/>
      <c r="F63" s="311"/>
    </row>
    <row r="64" spans="1:6" ht="47.25" customHeight="1" x14ac:dyDescent="0.25">
      <c r="A64" s="271" t="str">
        <f>договор!A119</f>
        <v>Manzil: Toshkent shahri, Yakkasaroy tumani, Rakat ko'chasi, 10 uy, 18 xonadon</v>
      </c>
      <c r="B64" s="271"/>
      <c r="C64" s="271"/>
      <c r="D64" s="271" t="str">
        <f>договор!B119</f>
        <v>Manzil: BUXORO VILOYATI KOGON TUMANI SORG'UN MFY PARAKATI QQ 22-UY</v>
      </c>
      <c r="E64" s="271"/>
      <c r="F64" s="271"/>
    </row>
    <row r="65" spans="1:6" ht="15" customHeight="1" x14ac:dyDescent="0.25">
      <c r="A65" s="271" t="str">
        <f>договор!A120</f>
        <v>h/r: №20208000405643889001</v>
      </c>
      <c r="B65" s="271"/>
      <c r="C65" s="271"/>
      <c r="D65" s="271" t="str">
        <f>договор!B121</f>
        <v>Pasport: AD 9213848 , IIV 61013  tomonidan 31.10.2024 yilda berilgan</v>
      </c>
      <c r="E65" s="271"/>
      <c r="F65" s="271"/>
    </row>
    <row r="66" spans="1:6" ht="32.25" customHeight="1" x14ac:dyDescent="0.25">
      <c r="A66" s="271" t="str">
        <f>договор!A121</f>
        <v>MFO: №01088 в ATB “Kapitalbank” Markaziy amaliyotlar bo'limi</v>
      </c>
      <c r="B66" s="271"/>
      <c r="C66" s="271"/>
      <c r="D66" s="271"/>
      <c r="E66" s="271"/>
      <c r="F66" s="271"/>
    </row>
    <row r="67" spans="1:6" ht="15" customHeight="1" x14ac:dyDescent="0.25">
      <c r="A67" s="271" t="str">
        <f>договор!A122</f>
        <v>STIR: 310430149</v>
      </c>
      <c r="B67" s="271"/>
      <c r="C67" s="271"/>
      <c r="D67" s="271" t="str">
        <f>договор!B122</f>
        <v>Tel: 93 137 50 56 KLIENT</v>
      </c>
      <c r="E67" s="271"/>
      <c r="F67" s="271"/>
    </row>
    <row r="68" spans="1:6" ht="15" customHeight="1" x14ac:dyDescent="0.25">
      <c r="A68" s="271" t="str">
        <f>договор!A123</f>
        <v>Tel: 555 100 216</v>
      </c>
      <c r="B68" s="271"/>
      <c r="C68" s="271"/>
      <c r="D68" s="271" t="str">
        <f>договор!B123</f>
        <v>91 247 01 98 UKASI</v>
      </c>
      <c r="E68" s="271"/>
      <c r="F68" s="271"/>
    </row>
    <row r="69" spans="1:6" ht="15" customHeight="1" x14ac:dyDescent="0.25">
      <c r="A69" s="271" t="str">
        <f>договор!A124</f>
        <v>Tel: (97) 714 14 17</v>
      </c>
      <c r="B69" s="271"/>
      <c r="C69" s="271"/>
      <c r="D69" s="271" t="str">
        <f>договор!B124</f>
        <v>93 392 24 05 AYOLI</v>
      </c>
      <c r="E69" s="271"/>
      <c r="F69" s="271"/>
    </row>
    <row r="70" spans="1:6" ht="23.25" customHeight="1" x14ac:dyDescent="0.25">
      <c r="A70" s="271" t="str">
        <f>договор!A126</f>
        <v>Tel: (97) 706 96 65</v>
      </c>
      <c r="B70" s="271"/>
      <c r="C70" s="271"/>
      <c r="D70" s="330" t="str">
        <f>IF(договор!B125=0,"",договор!B125)</f>
        <v/>
      </c>
      <c r="E70" s="330"/>
      <c r="F70" s="330"/>
    </row>
    <row r="71" spans="1:6" ht="22.5" customHeight="1" x14ac:dyDescent="0.25">
      <c r="A71" s="310" t="str">
        <f>'Общие данные'!A171</f>
        <v>Buxoro filiali boshlig’i</v>
      </c>
      <c r="B71" s="310"/>
      <c r="C71" s="310"/>
      <c r="D71" s="311" t="str">
        <f>договор!B128</f>
        <v>ALLAMURODOV M.Y.     __________________</v>
      </c>
      <c r="E71" s="311"/>
      <c r="F71" s="311"/>
    </row>
    <row r="72" spans="1:6" ht="15" customHeight="1" x14ac:dyDescent="0.25">
      <c r="A72" s="310" t="str">
        <f>'Общие данные'!B171</f>
        <v>Ikromov B.A.</v>
      </c>
      <c r="B72" s="310"/>
      <c r="C72" s="310"/>
      <c r="D72" s="311"/>
      <c r="E72" s="311"/>
      <c r="F72" s="311"/>
    </row>
    <row r="73" spans="1:6" ht="24" customHeight="1" x14ac:dyDescent="0.25">
      <c r="A73" s="330"/>
      <c r="B73" s="330"/>
      <c r="C73" s="330"/>
      <c r="D73" s="330"/>
      <c r="E73" s="330"/>
      <c r="F73" s="330"/>
    </row>
    <row r="74" spans="1:6" ht="30" customHeight="1" x14ac:dyDescent="0.25">
      <c r="A74" s="333"/>
      <c r="B74" s="333"/>
      <c r="C74" s="333"/>
      <c r="D74" s="334"/>
      <c r="E74" s="334"/>
      <c r="F74" s="334"/>
    </row>
    <row r="75" spans="1:6" x14ac:dyDescent="0.25">
      <c r="A75" s="335"/>
      <c r="B75" s="335"/>
      <c r="C75" s="335"/>
      <c r="D75" s="335"/>
      <c r="E75" s="335"/>
      <c r="F75" s="335"/>
    </row>
    <row r="76" spans="1:6" x14ac:dyDescent="0.25">
      <c r="A76" s="332"/>
      <c r="B76" s="332"/>
      <c r="C76" s="332"/>
      <c r="D76" s="332"/>
      <c r="E76" s="332"/>
      <c r="F76" s="332"/>
    </row>
  </sheetData>
  <mergeCells count="40">
    <mergeCell ref="H12:P24"/>
    <mergeCell ref="A76:C76"/>
    <mergeCell ref="D76:F76"/>
    <mergeCell ref="A73:C73"/>
    <mergeCell ref="D73:F73"/>
    <mergeCell ref="A74:C74"/>
    <mergeCell ref="D74:F74"/>
    <mergeCell ref="A75:C75"/>
    <mergeCell ref="D75:F75"/>
    <mergeCell ref="A71:C71"/>
    <mergeCell ref="D71:F71"/>
    <mergeCell ref="A72:C72"/>
    <mergeCell ref="D72:F72"/>
    <mergeCell ref="A68:C68"/>
    <mergeCell ref="D68:F68"/>
    <mergeCell ref="A69:C69"/>
    <mergeCell ref="D69:F69"/>
    <mergeCell ref="A70:C70"/>
    <mergeCell ref="D70:F70"/>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E2:F2"/>
    <mergeCell ref="A5:F5"/>
    <mergeCell ref="A7:A8"/>
    <mergeCell ref="B7:B8"/>
    <mergeCell ref="C7:C8"/>
    <mergeCell ref="D7:F7"/>
    <mergeCell ref="E3:F3"/>
  </mergeCells>
  <conditionalFormatting sqref="B9:B56">
    <cfRule type="cellIs" dxfId="7" priority="2" operator="lessThan">
      <formula>22105</formula>
    </cfRule>
  </conditionalFormatting>
  <conditionalFormatting sqref="C9:F56">
    <cfRule type="cellIs" dxfId="6"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32"/>
  <sheetViews>
    <sheetView view="pageBreakPreview" topLeftCell="A5" zoomScale="115" zoomScaleNormal="175" zoomScaleSheetLayoutView="115" workbookViewId="0">
      <selection activeCell="A20" sqref="A20:XFD20"/>
    </sheetView>
  </sheetViews>
  <sheetFormatPr defaultColWidth="0" defaultRowHeight="15.75" x14ac:dyDescent="0.25"/>
  <cols>
    <col min="1" max="1" width="26" style="6" customWidth="1"/>
    <col min="2" max="2" width="15.28515625" style="6" customWidth="1"/>
    <col min="3" max="3" width="34.5703125" style="6" customWidth="1"/>
    <col min="4" max="16384" width="9.140625" style="6" hidden="1"/>
  </cols>
  <sheetData>
    <row r="1" spans="1:3" hidden="1" x14ac:dyDescent="0.25"/>
    <row r="2" spans="1:3" hidden="1" x14ac:dyDescent="0.25"/>
    <row r="3" spans="1:3" hidden="1" x14ac:dyDescent="0.25"/>
    <row r="4" spans="1:3" hidden="1" x14ac:dyDescent="0.25"/>
    <row r="6" spans="1:3" ht="17.25" customHeight="1" x14ac:dyDescent="0.25">
      <c r="C6" s="12" t="str">
        <f>'Общие данные'!B158</f>
        <v>«PULLOL BUSINESS MIKROMOLIYA TASHKILOTI»  MChJ</v>
      </c>
    </row>
    <row r="7" spans="1:3" ht="33" customHeight="1" x14ac:dyDescent="0.25">
      <c r="A7" s="193"/>
      <c r="B7" s="193"/>
      <c r="C7" s="197" t="str">
        <f>'Общие данные'!A171&amp;" "&amp;'Общие данные'!C171 &amp;"ga"</f>
        <v>Buxoro filiali boshlig’i B.A.Ikromovga</v>
      </c>
    </row>
    <row r="8" spans="1:3" x14ac:dyDescent="0.25">
      <c r="A8" s="198"/>
      <c r="B8" s="198"/>
      <c r="C8" s="197" t="str">
        <f>'Общие данные'!B113 &amp; "dan"</f>
        <v>RO'ZIYEV O.O.dan</v>
      </c>
    </row>
    <row r="9" spans="1:3" ht="15.75" hidden="1" customHeight="1" x14ac:dyDescent="0.25">
      <c r="C9" s="199" t="str">
        <f>[4]malumot!B119</f>
        <v>FAYZIYEV JAMSHID KURBONOVICH</v>
      </c>
    </row>
    <row r="10" spans="1:3" ht="15.75" hidden="1" customHeight="1" x14ac:dyDescent="0.25">
      <c r="C10" s="199">
        <f>[4]malumot!C119</f>
        <v>0</v>
      </c>
    </row>
    <row r="11" spans="1:3" ht="15.75" hidden="1" customHeight="1" x14ac:dyDescent="0.25">
      <c r="C11" s="198" t="s">
        <v>382</v>
      </c>
    </row>
    <row r="12" spans="1:3" x14ac:dyDescent="0.25">
      <c r="B12" s="6" t="s">
        <v>370</v>
      </c>
    </row>
    <row r="13" spans="1:3" ht="82.5" customHeight="1" x14ac:dyDescent="0.25">
      <c r="A13" s="304" t="str">
        <f>IF('Общие данные'!B110="Avtotransport",A14,A15)</f>
        <v>ALLAMURODOV MUHAMMAD YOQUB O‘G‘LI tomonidan so’ralayotgan O'ttiz olti   (36) oy muddatga, 52 000 000 (ellik ikki million so'm) miqdoridagi mikroqarzning ta’minoti sifatida menga mulk huquqi asosida tegishli bo’lgan  80F845XA, YENGIL SEDAN, B15D212181062B8JX0417, OQ BELAYA, avtotransport vositasini qabul qilishingizni so’rayman:</v>
      </c>
      <c r="B13" s="304"/>
      <c r="C13" s="304"/>
    </row>
    <row r="14" spans="1:3" ht="124.5" hidden="1" customHeight="1" x14ac:dyDescent="0.25">
      <c r="A14" s="336" t="str">
        <f>""&amp;'Общие данные'!B12&amp;" tomonidan so’ralayotgan "&amp;'Общие данные'!B83&amp;" ("&amp;'Общие данные'!B82&amp;") oy muddatga, "&amp;FIXED('Общие данные'!B76,0)&amp;" ("&amp;'Общие данные'!B77&amp;") miqdoridagi "&amp;'Общие данные'!B65&amp;"ning ta’minoti sifatida menga mulk huquqi asosida tegishli bo’lgan  "&amp;'Общие данные'!B133&amp;", "&amp;'Общие данные'!B135&amp;", "&amp;'Общие данные'!B138&amp;", "&amp;'Общие данные'!B141&amp;", avtotransport vositasini qabul qilishingizni so’rayman:"</f>
        <v>ALLAMURODOV MUHAMMAD YOQUB O‘G‘LI tomonidan so’ralayotgan O'ttiz olti   (36) oy muddatga, 52 000 000 (ellik ikki million so'm) miqdoridagi mikroqarzning ta’minoti sifatida menga mulk huquqi asosida tegishli bo’lgan  80F845XA, YENGIL SEDAN, B15D212181062B8JX0417, OQ BELAYA, avtotransport vositasini qabul qilishingizni so’rayman:</v>
      </c>
      <c r="B14" s="336"/>
      <c r="C14" s="336"/>
    </row>
    <row r="15" spans="1:3" ht="31.5" hidden="1" customHeight="1" x14ac:dyDescent="0.25">
      <c r="A15" s="336" t="str">
        <f>""&amp;[4]malumot!B12&amp;" tomonidan so’ralayotgan "&amp;[4]malumot!B81&amp;" ("&amp;[4]malumot!B82&amp;") oy muddatga, "&amp;FIXED([4]malumot!B75,0)&amp;" ("&amp;[4]malumot!B76&amp;") miqdoridagi "&amp;[4]malumot!B65&amp;"ning ta’minoti sifatida menga mulk huquqi asosida tegishli bo’lgan  "&amp;[4]malumot!C134&amp;", umumiy maydoni "&amp;[4]malumot!C138&amp;" va yashash maydoni "&amp;[4]malumot!C141&amp;"  "&amp;[4]malumot!C131&amp;" manzilda joylashgan ko'chmas mulkni qabul qilishingizni so’rayman:"</f>
        <v>XAYATOV OTABEK KURBANOVICH tomonidan so’ralayotgan 48 (Qirq sakkiz  ) oy muddatga, 26 000 000 (yigirma olti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36"/>
      <c r="C15" s="336"/>
    </row>
    <row r="18" spans="1:3" x14ac:dyDescent="0.25">
      <c r="C18" s="199" t="s">
        <v>383</v>
      </c>
    </row>
    <row r="19" spans="1:3" ht="18.75" customHeight="1" x14ac:dyDescent="0.25">
      <c r="A19" s="11" t="str">
        <f>+IF('Общие данные'!B100="ha",'Общие данные'!B7,'Общие данные'!B113)</f>
        <v>RO'ZIYEV O.O.</v>
      </c>
      <c r="C19" s="200" t="str">
        <f>'Общие данные'!B2</f>
        <v>07.04.2026</v>
      </c>
    </row>
    <row r="20" spans="1:3" s="337" customFormat="1" ht="48" customHeight="1" x14ac:dyDescent="0.25">
      <c r="A20" s="337" t="str">
        <f>IF('Общие данные'!B100='Общие данные'!D100,CONCATENATE(A28," ",A32,A26),"")</f>
        <v xml:space="preserve">№202602372001231 07.04.2026 ysanasidan xususiy faoliyat ko'rsatuvchi notarius tomonidan  BUXORO VILOYATI BUXORO SHAHRI BOG'ISHAMOL KO'CHASI 1/7 UY 1-XONA berilgan ishonchnomaga asosan </v>
      </c>
    </row>
    <row r="21" spans="1:3" x14ac:dyDescent="0.25">
      <c r="A21" s="180"/>
      <c r="B21" s="180"/>
      <c r="C21" s="180"/>
    </row>
    <row r="22" spans="1:3" x14ac:dyDescent="0.25">
      <c r="A22" s="180"/>
      <c r="B22" s="180"/>
      <c r="C22" s="180"/>
    </row>
    <row r="23" spans="1:3" x14ac:dyDescent="0.25">
      <c r="A23" s="145" t="str">
        <f>'Общие данные'!A171</f>
        <v>Buxoro filiali boshlig’i</v>
      </c>
      <c r="B23" s="145"/>
      <c r="C23" s="197" t="str">
        <f>'Общие данные'!B171</f>
        <v>Ikromov B.A.</v>
      </c>
    </row>
    <row r="24" spans="1:3" x14ac:dyDescent="0.25">
      <c r="A24" s="145"/>
      <c r="B24" s="145"/>
      <c r="C24" s="197"/>
    </row>
    <row r="25" spans="1:3" x14ac:dyDescent="0.25">
      <c r="A25" s="145"/>
      <c r="B25" s="145"/>
      <c r="C25" s="197"/>
    </row>
    <row r="26" spans="1:3" hidden="1" x14ac:dyDescent="0.25">
      <c r="A26" s="6" t="str">
        <f>" xususiy faoliyat ko'rsatuvchi notarius tomonidan "&amp;'Общие данные'!B104&amp;" "&amp;'Общие данные'!B105&amp;" berilgan ishonchnomaga asosan "</f>
        <v xml:space="preserve"> xususiy faoliyat ko'rsatuvchi notarius tomonidan  BUXORO VILOYATI BUXORO SHAHRI BOG'ISHAMOL KO'CHASI 1/7 UY 1-XONA berilgan ishonchnomaga asosan </v>
      </c>
    </row>
    <row r="27" spans="1:3" hidden="1" x14ac:dyDescent="0.25"/>
    <row r="28" spans="1:3" hidden="1" x14ac:dyDescent="0.25">
      <c r="A28" s="6" t="str">
        <f>"№"&amp;'Общие данные'!B107&amp; ""</f>
        <v>№202602372001231</v>
      </c>
    </row>
    <row r="29" spans="1:3" hidden="1" x14ac:dyDescent="0.25">
      <c r="A29" s="232" t="str">
        <f>'Общие данные'!B108</f>
        <v>07.04.2026 y</v>
      </c>
    </row>
    <row r="30" spans="1:3" hidden="1" x14ac:dyDescent="0.25">
      <c r="A30" s="6" t="str">
        <f>TEXT(A29,"ДД.ММ.ГГГГ")</f>
        <v>07.04.2026 y</v>
      </c>
    </row>
    <row r="31" spans="1:3" hidden="1" x14ac:dyDescent="0.25">
      <c r="A31" s="6" t="s">
        <v>397</v>
      </c>
    </row>
    <row r="32" spans="1:3" hidden="1" x14ac:dyDescent="0.25">
      <c r="A32" s="6" t="str">
        <f>CONCATENATE(A30,A31)</f>
        <v>07.04.2026 ysanasidan</v>
      </c>
    </row>
  </sheetData>
  <mergeCells count="4">
    <mergeCell ref="A13:C13"/>
    <mergeCell ref="A14:C14"/>
    <mergeCell ref="A15:C15"/>
    <mergeCell ref="A20:XFD20"/>
  </mergeCells>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3">
    <tabColor rgb="FF00B050"/>
  </sheetPr>
  <dimension ref="A2:F69"/>
  <sheetViews>
    <sheetView view="pageBreakPreview" zoomScaleNormal="100" zoomScaleSheetLayoutView="100" workbookViewId="0">
      <selection activeCell="D59" sqref="D59:E59"/>
    </sheetView>
  </sheetViews>
  <sheetFormatPr defaultColWidth="9.140625" defaultRowHeight="15" outlineLevelRow="1" x14ac:dyDescent="0.25"/>
  <cols>
    <col min="1" max="1" width="29.7109375" style="13" customWidth="1"/>
    <col min="2" max="2" width="22.85546875" style="13" customWidth="1"/>
    <col min="3" max="3" width="22.42578125" style="13" customWidth="1"/>
    <col min="4" max="4" width="21.42578125" style="13" customWidth="1"/>
    <col min="5" max="5" width="21.5703125" style="13" customWidth="1"/>
    <col min="6" max="16384" width="9.140625" style="13"/>
  </cols>
  <sheetData>
    <row r="2" spans="1:5" ht="37.5" customHeight="1" x14ac:dyDescent="0.25">
      <c r="A2" s="323" t="str">
        <f>"GAROV PREDMETI QIYMATINI KELISHISH 
№"&amp;'Общие данные'!B148&amp;" SONLI DALOLATNOMASI
 "</f>
        <v xml:space="preserve">GAROV PREDMETI QIYMATINI KELISHISH 
№1 SONLI DALOLATNOMASI
 </v>
      </c>
      <c r="B2" s="323"/>
      <c r="C2" s="323"/>
      <c r="D2" s="323"/>
      <c r="E2" s="323"/>
    </row>
    <row r="3" spans="1:5" x14ac:dyDescent="0.25">
      <c r="A3" s="37"/>
      <c r="B3" s="37"/>
      <c r="C3" s="37"/>
      <c r="D3" s="37"/>
      <c r="E3" s="37"/>
    </row>
    <row r="4" spans="1:5" x14ac:dyDescent="0.25">
      <c r="A4" s="34" t="s">
        <v>200</v>
      </c>
      <c r="B4" s="34"/>
      <c r="C4" s="34"/>
      <c r="D4" s="34"/>
      <c r="E4" s="34" t="str">
        <f>'Общие данные'!B149</f>
        <v>7 aprel 2026 y.</v>
      </c>
    </row>
    <row r="5" spans="1:5" ht="9" customHeight="1" x14ac:dyDescent="0.25">
      <c r="A5" s="270"/>
      <c r="B5" s="270"/>
      <c r="C5" s="270"/>
      <c r="D5" s="270"/>
      <c r="E5" s="270"/>
    </row>
    <row r="6" spans="1:5" ht="77.25" customHeight="1" x14ac:dyDescent="0.25">
      <c r="A6" s="270" t="str">
        <f>IF('Общие данные'!B110="avtotransport",'Акт согласования'!A10:E10,'Акт согласования'!A7:E7)</f>
        <v>«PULLOL BUSINESS MIKROMOLIYA TASHKILOTI»  MChJning (1-tomon) vakili bo‘lgan  Buxoro filiali boshlig’i Ikromov B.A., O‘zbekiston Respublikasi fuqarosi ALLAMURODOV MUHAMMAD YOQUB O‘G‘LI (2-tomon) va garovga beruvchi O‘zbekiston Respublikasi fuqarosi RO'ZIYEV ODILJON OLIMJONOVICH (3-tomon) o’rtalarida, 7 aprel 2026 y.dan № 323-BR-sonli Mikroqarz shartnomasiga muvofiq 1-tomon 2-tomonga berilgan mikroqarz bo‘yicha ta’minot sifatida taqdim etilgan, 3-tomonga mulk huquqi asosida tegishli bo‘lgan mulkning garov qiymatini kelishish muzokaralari o’tkazildi.</v>
      </c>
      <c r="B6" s="270"/>
      <c r="C6" s="270"/>
      <c r="D6" s="270"/>
      <c r="E6" s="270"/>
    </row>
    <row r="7" spans="1:5" ht="88.5" hidden="1" customHeight="1" x14ac:dyDescent="0.25">
      <c r="A7" s="270" t="str">
        <f>IF('Общие данные'!B100="ha",'Акт согласования'!A9:E9,'Акт согласования'!A8:E8)</f>
        <v xml:space="preserve">«PULLOL BUSINESS MIKROMOLIYA TASHKILOTI»  MChJning (1-tomon) vakili bo‘lgan  Buxoro filiali boshlig’i Ikromov B.A., va O‘zbekiston Respublikasi fuqarosi  ALLAMURODOV MUHAMMAD YOQUB O‘G‘LI (2-tomon) va garov egasi 0 (3-tomon) 7 aprel 2026 y.dan № 323-BR Mikroqarz shartnomasiga muvofiq 1-tomon 2-tomonga berilgan mikroqarz bo‘yicha ta’minot sifatida taqdim etilgan, 2-tomonga mulk huquqi asosida tegishli bo‘lgan mulkning garov qiymatini kelishish muzokaralari o’tkazildi. </v>
      </c>
      <c r="B7" s="270"/>
      <c r="C7" s="270"/>
      <c r="D7" s="270"/>
      <c r="E7" s="270"/>
    </row>
    <row r="8" spans="1:5" ht="88.5" hidden="1" customHeight="1" x14ac:dyDescent="0.25">
      <c r="A8" s="270" t="str">
        <f>""&amp;'Общие данные'!B158&amp;"ning (1-tomon) vakili bo‘lgan  "&amp;'Общие данные'!A171&amp;" "&amp;'Общие данные'!B171&amp;", va O‘zbekiston Respublikasi fuqarosi  "&amp;'Общие данные'!B5&amp;" (2-tomon) va garov egasi "&amp;'Общие данные'!C124&amp;"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«PULLOL BUSINESS MIKROMOLIYA TASHKILOTI»  MChJning (1-tomon) vakili bo‘lgan  Buxoro filiali boshlig’i Ikromov B.A., va O‘zbekiston Respublikasi fuqarosi  ALLAMURODOV MUHAMMAD YOQUB O‘G‘LI (2-tomon) va garov egasi 0 (3-tomon) 7 aprel 2026 y.dan № 323-BR Mikroqarz shartnomasiga muvofiq 1-tomon 2-tomonga berilgan mikroqarz bo‘yicha ta’minot sifatida taqdim etilgan, 2-tomonga mulk huquqi asosida tegishli bo‘lgan mulkning garov qiymatini kelishish muzokaralari o’tkazildi. </v>
      </c>
      <c r="B8" s="270"/>
      <c r="C8" s="270"/>
      <c r="D8" s="270"/>
      <c r="E8" s="270"/>
    </row>
    <row r="9" spans="1:5" ht="88.5" hidden="1" customHeight="1" x14ac:dyDescent="0.25">
      <c r="A9" s="270" t="str">
        <f>""&amp;'Общие данные'!B158&amp;"ning (1-tomon) vakili bo‘lgan  "&amp;'Общие данные'!A171&amp;" "&amp;'Общие данные'!B171&amp;", va O‘zbekiston Respublikasi fuqarosi  "&amp;'Общие данные'!B5&amp;" (2-tomon) va garov egasi "&amp;'Общие данные'!C124&amp;"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«PULLOL BUSINESS MIKROMOLIYA TASHKILOTI»  MChJning (1-tomon) vakili bo‘lgan  Buxoro filiali boshlig’i Ikromov B.A., va O‘zbekiston Respublikasi fuqarosi  ALLAMURODOV MUHAMMAD YOQUB O‘G‘LI (2-tomon) va garov egasi 0 (3-tomon) 7 aprel 2026 y.dan № 323-BR Mikroqarz shartnomasiga muvofiq 1-tomon 2-tomonga berilgan mikroqarz bo‘yicha ta’minot sifatida taqdim etilgan, 2-tomonga mulk huquqi asosida tegishli bo‘lgan mulkning garov qiymatini kelishish muzokaralari o’tkazildi. </v>
      </c>
      <c r="B9" s="270"/>
      <c r="C9" s="270"/>
      <c r="D9" s="270"/>
      <c r="E9" s="270"/>
    </row>
    <row r="10" spans="1:5" ht="88.5" hidden="1" customHeight="1" x14ac:dyDescent="0.25">
      <c r="A10" s="270" t="str">
        <f>IF('Общие данные'!B100="ha",'Акт согласования'!A12:E12,'Акт согласования'!A11:E11)</f>
        <v>«PULLOL BUSINESS MIKROMOLIYA TASHKILOTI»  MChJning (1-tomon) vakili bo‘lgan  Buxoro filiali boshlig’i Ikromov B.A., O‘zbekiston Respublikasi fuqarosi ALLAMURODOV MUHAMMAD YOQUB O‘G‘LI (2-tomon) va garovga beruvchi O‘zbekiston Respublikasi fuqarosi RO'ZIYEV ODILJON OLIMJONOVICH (3-tomon) o’rtalarida, 7 aprel 2026 y.dan № 323-BR-sonli Mikroqarz shartnomasiga muvofiq 1-tomon 2-tomonga berilgan mikroqarz bo‘yicha ta’minot sifatida taqdim etilgan, 3-tomonga mulk huquqi asosida tegishli bo‘lgan mulkning garov qiymatini kelishish muzokaralari o’tkazildi.</v>
      </c>
      <c r="B10" s="270"/>
      <c r="C10" s="270"/>
      <c r="D10" s="270"/>
      <c r="E10" s="270"/>
    </row>
    <row r="11" spans="1:5" ht="88.5" hidden="1" customHeight="1" x14ac:dyDescent="0.25">
      <c r="A11" s="270" t="str">
        <f>""&amp;'Общие данные'!B158&amp;"ning (1-tomon) vakili bo‘lgan  "&amp;'Общие данные'!A171&amp;" "&amp;'Общие данные'!B171&amp;", O‘zbekiston Respublikasi fuqarosi "&amp;'Общие данные'!B5&amp;" (2-tomon) va garovga beruvchi O‘zbekiston Respublikasi fuqarosi "&amp;'Общие данные'!B124&amp;"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«PULLOL BUSINESS MIKROMOLIYA TASHKILOTI»  MChJning (1-tomon) vakili bo‘lgan  Buxoro filiali boshlig’i Ikromov B.A., O‘zbekiston Respublikasi fuqarosi ALLAMURODOV MUHAMMAD YOQUB O‘G‘LI (2-tomon) va garovga beruvchi O‘zbekiston Respublikasi fuqarosi RO'ZIYEV ODILJON OLIMJONOVICH (3-tomon) o’rtalarida, 7 aprel 2026 y.dan № 323-BR-sonli Mikroqarz shartnomasiga muvofiq 1-tomon 2-tomonga berilgan mikroqarz bo‘yicha ta’minot sifatida taqdim etilgan, 3-tomonga mulk huquqi asosida tegishli bo‘lgan mulkning garov qiymatini kelishish muzokaralari o’tkazildi.</v>
      </c>
      <c r="B11" s="270"/>
      <c r="C11" s="270"/>
      <c r="D11" s="270"/>
      <c r="E11" s="270"/>
    </row>
    <row r="12" spans="1:5" ht="88.5" hidden="1" customHeight="1" x14ac:dyDescent="0.25">
      <c r="A12" s="270" t="str">
        <f>""&amp;'Общие данные'!B158&amp;"ning (1-tomon) vakili bo‘lgan  "&amp;'Общие данные'!A171&amp;" "&amp;'Общие данные'!B171&amp;",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«PULLOL BUSINESS MIKROMOLIYA TASHKILOTI»  MChJning (1-tomon) vakili bo‘lgan  Buxoro filiali boshlig’i Ikromov B.A., O‘zbekiston Respublikasi fuqarosi va garovga beruvchi ALLAMURODOV MUHAMMAD YOQUB O‘G‘LI (2-tomon) o’rtalarida, 7 aprel 2026 y.dan № 323-BR-sonli Mikroqarz shartnomasiga muvofiq 1-tomon 2-tomonga berilgan mikroqarz bo‘yicha ta’minot sifatida taqdim etilgan, 2-tomonga mulk huquqi asosida tegishli bo‘lgan mulkning garov qiymatini kelishish muzokaralari o’tkazildi.</v>
      </c>
      <c r="B12" s="270"/>
      <c r="C12" s="270"/>
      <c r="D12" s="270"/>
      <c r="E12" s="270"/>
    </row>
    <row r="13" spans="1:5" ht="88.5" hidden="1" customHeight="1" x14ac:dyDescent="0.25">
      <c r="A13" s="270" t="str">
        <f>"Garov predmeti sifatida "&amp;'Общие данные'!B132&amp;", 3-tomonga egalik huquqi tegishli bo'lgan, quyidagi tafsilotlarga ega avtotransport vositasi taqdim etiladi:"</f>
        <v>Garov predmeti sifatida SPARK, 3-tomonga egalik huquqi tegishli bo'lgan, quyidagi tafsilotlarga ega avtotransport vositasi taqdim etiladi:</v>
      </c>
      <c r="B13" s="270"/>
      <c r="C13" s="270"/>
      <c r="D13" s="270"/>
      <c r="E13" s="270"/>
    </row>
    <row r="14" spans="1:5" ht="88.5" hidden="1" customHeight="1" x14ac:dyDescent="0.25">
      <c r="A14" s="270" t="str">
        <f>"Garov predmeti sifatida "&amp;'Общие данные'!B132&amp;", 2-tomonga egalik huquqi tegishli bo'lgan, quyidagi tafsilotlarga ega avtotransport vositasi taqdim etiladi:"</f>
        <v>Garov predmeti sifatida SPARK, 2-tomonga egalik huquqi tegishli bo'lgan, quyidagi tafsilotlarga ega avtotransport vositasi taqdim etiladi:</v>
      </c>
      <c r="B14" s="270"/>
      <c r="C14" s="270"/>
      <c r="D14" s="270"/>
      <c r="E14" s="270"/>
    </row>
    <row r="15" spans="1:5" ht="88.5" hidden="1" customHeight="1" x14ac:dyDescent="0.25">
      <c r="A15" s="270" t="str">
        <f>IF('Общие данные'!B100="ha",'Акт согласования'!A14:E14,'Акт согласования'!A13:E13)</f>
        <v>Garov predmeti sifatida SPARK, 3-tomonga egalik huquqi tegishli bo'lgan, quyidagi tafsilotlarga ega avtotransport vositasi taqdim etiladi:</v>
      </c>
      <c r="B15" s="270"/>
      <c r="C15" s="270"/>
      <c r="D15" s="270"/>
      <c r="E15" s="270"/>
    </row>
    <row r="16" spans="1:5" ht="88.5" hidden="1" customHeight="1" x14ac:dyDescent="0.25">
      <c r="A16" s="270" t="str">
        <f>"Garov predmeti sifatida "&amp;'Общие данные'!C133&amp;", 2-tomonga egalik huquqi tegishli bo'lgan, quyidagi tafsilotlarga ega ko'chmas mulk taqdim etiladi:"</f>
        <v>Garov predmeti sifatida  0, 2-tomonga egalik huquqi tegishli bo'lgan, quyidagi tafsilotlarga ega ko'chmas mulk taqdim etiladi:</v>
      </c>
      <c r="B16" s="270"/>
      <c r="C16" s="270"/>
      <c r="D16" s="270"/>
      <c r="E16" s="270"/>
    </row>
    <row r="17" spans="1:5" ht="13.5" hidden="1" customHeight="1" x14ac:dyDescent="0.25">
      <c r="A17" s="270" t="str">
        <f>"Garov predmeti sifatida "&amp;'Общие данные'!C133&amp;", 3-tomonga egalik huquqi tegishli bo'lgan, quyidagi tafsilotlarga ega ko'chmas mulk taqdim etiladi:"</f>
        <v>Garov predmeti sifatida  0, 3-tomonga egalik huquqi tegishli bo'lgan, quyidagi tafsilotlarga ega ko'chmas mulk taqdim etiladi:</v>
      </c>
      <c r="B17" s="270"/>
      <c r="C17" s="270"/>
      <c r="D17" s="270"/>
      <c r="E17" s="270"/>
    </row>
    <row r="18" spans="1:5" ht="11.25" hidden="1" customHeight="1" x14ac:dyDescent="0.25">
      <c r="A18" s="270" t="str">
        <f>IF('Общие данные'!B100="ha",'Акт согласования'!A16:E16,'Акт согласования'!A17:E17)</f>
        <v>Garov predmeti sifatida  0, 3-tomonga egalik huquqi tegishli bo'lgan, quyidagi tafsilotlarga ega ko'chmas mulk taqdim etiladi:</v>
      </c>
      <c r="B18" s="270"/>
      <c r="C18" s="270"/>
      <c r="D18" s="270"/>
      <c r="E18" s="270"/>
    </row>
    <row r="19" spans="1:5" ht="36.75" customHeight="1" x14ac:dyDescent="0.25">
      <c r="A19" s="270" t="str">
        <f>IF('Общие данные'!B110="Avtotransport",'Акт согласования'!A15:E15,'Акт согласования'!A18:E18)</f>
        <v>Garov predmeti sifatida SPARK, 3-tomonga egalik huquqi tegishli bo'lgan, quyidagi tafsilotlarga ega avtotransport vositasi taqdim etiladi:</v>
      </c>
      <c r="B19" s="270"/>
      <c r="C19" s="270"/>
      <c r="D19" s="270"/>
      <c r="E19" s="270"/>
    </row>
    <row r="20" spans="1:5" ht="48" customHeight="1" outlineLevel="1" x14ac:dyDescent="0.25">
      <c r="A20" s="36" t="s">
        <v>198</v>
      </c>
      <c r="B20" s="338" t="str">
        <f>IF('Общие данные'!B110='Общие данные'!C110,"Kuzov turi  va kuzov raqami*","Foydali maydoni")</f>
        <v>Kuzov turi  va kuzov raqami*</v>
      </c>
      <c r="C20" s="339"/>
      <c r="D20" s="36" t="str">
        <f>IF('Общие данные'!B110='Общие данные'!C110,"Dvigatel va shassi raqami*","Yashash maydoni")</f>
        <v>Dvigatel va shassi raqami*</v>
      </c>
      <c r="E20" s="36" t="str">
        <f>IF('Общие данные'!B110='Общие данные'!C110,"Ishlab chiqarilgan yili va rangi**","Umumiy maydoni")</f>
        <v>Ishlab chiqarilgan yili va rangi**</v>
      </c>
    </row>
    <row r="21" spans="1:5" ht="83.25" customHeight="1" outlineLevel="1" x14ac:dyDescent="0.25">
      <c r="A21" s="15" t="str">
        <f>IF('Общие данные'!B110='Общие данные'!C110,'Общие данные'!B132,'Общие данные'!C132)</f>
        <v>SPARK</v>
      </c>
      <c r="B21" s="325" t="str">
        <f>IF('Общие данные'!B110='Общие данные'!C110,'Общие данные'!B134,CONCATENATE('Общие данные'!F137," ","kv.m"))</f>
        <v>kuzov turi - YENGIL SEDAN, kuzov raqami XWBMF48NEJA525204</v>
      </c>
      <c r="C21" s="325"/>
      <c r="D21" s="15" t="str">
        <f>IF('Общие данные'!B110='Общие данные'!C110,'Общие данные'!B137,'Общие данные'!E140)</f>
        <v>dvigatel raqami B15D212181062B8JX0417, shassi raqami - RAKAMSIZ</v>
      </c>
      <c r="E21" s="15" t="str">
        <f>IF('Общие данные'!B110='Общие данные'!C110,'Общие данные'!B140,'Общие данные'!E137)</f>
        <v>rangi -  OQ BELAYA, ishlab chiqarilgan yili - 2018</v>
      </c>
    </row>
    <row r="22" spans="1:5" ht="17.25" customHeight="1" outlineLevel="1" x14ac:dyDescent="0.25">
      <c r="A22" s="270" t="str">
        <f>"-* "&amp;IF('Общие данные'!B110='Общие данные'!C110,"avtotransport "&amp;"egasi: "&amp;'Общие данные'!B124&amp;"","ko'chmas mulk"&amp;" egasi: "&amp;'Общие данные'!B124&amp;"")</f>
        <v>-* avtotransport egasi: RO'ZIYEV ODILJON OLIMJONOVICH</v>
      </c>
      <c r="B22" s="270"/>
      <c r="C22" s="270"/>
      <c r="D22" s="270"/>
      <c r="E22" s="270"/>
    </row>
    <row r="23" spans="1:5" outlineLevel="1" x14ac:dyDescent="0.25">
      <c r="A23" s="270" t="str">
        <f>IF('Общие данные'!B110='Общие данные'!C110,"-* texnik pasport: "&amp;'Общие данные'!B131&amp;"","-* reest raqami: "&amp;'Общие данные'!C131&amp;"")</f>
        <v>-* texnik pasport: AAG   2554881   10.10.2023 y</v>
      </c>
      <c r="B23" s="270"/>
      <c r="C23" s="270"/>
      <c r="D23" s="270"/>
      <c r="E23" s="270"/>
    </row>
    <row r="24" spans="1:5" s="161" customFormat="1" outlineLevel="1" x14ac:dyDescent="0.25">
      <c r="A24" s="270" t="str">
        <f>IF('Общие данные'!B110='Общие данные'!C110,"-* roʻyxatdan oʻtgan manzili/garaj manzili: "&amp;'Общие данные'!B129&amp;"","-*  kadastr raqami: "&amp;'Общие данные'!C134&amp;"")</f>
        <v>-* roʻyxatdan oʻtgan manzili/garaj manzili: BUXORO VILOYATI OLOT TUMANI ASAJAM MFY ASAJAM</v>
      </c>
      <c r="B24" s="270"/>
      <c r="C24" s="270"/>
      <c r="D24" s="270"/>
      <c r="E24" s="270"/>
    </row>
    <row r="25" spans="1:5" ht="33" customHeight="1" outlineLevel="1" x14ac:dyDescent="0.25">
      <c r="A25" s="270" t="str">
        <f>IF('Общие данные'!B110='Общие данные'!C110,"-* davlat raqami: "&amp;'Общие данные'!B133&amp;"","-* manzili: "&amp;'Общие данные'!C130&amp;"")</f>
        <v>-* davlat raqami: 80F845XA</v>
      </c>
      <c r="B25" s="270"/>
      <c r="C25" s="270"/>
      <c r="D25" s="270"/>
      <c r="E25" s="270"/>
    </row>
    <row r="26" spans="1:5" ht="65.25" hidden="1" customHeight="1" x14ac:dyDescent="0.25">
      <c r="A26" s="270" t="str">
        <f>IF('Общие данные'!B100="ha",'Акт согласования'!A28:E28,'Акт согласования'!A27:E27)</f>
        <v>Tomonlar o’rtasida o’tkazilgan muzokaralar natijalariga ko‘ra, 2-tomon ta’minot sifatida quyidagi tafsilotlarga ega bo’lgan garov predmetini taqdim etadi, 1-tomon esa ushbu garov predmetini  7 aprel 2026 y.dan № 323-BR mikroqarz shartnomasi bo‘yicha berilgan mikroqarz bo‘yicha  
49 000 000,00 (qirq to'qqiz million so'm) so’m bo‘lgan kelishilgan garov qiymatida qabul qiladi::</v>
      </c>
      <c r="B26" s="270"/>
      <c r="C26" s="270"/>
      <c r="D26" s="270"/>
      <c r="E26" s="270"/>
    </row>
    <row r="27" spans="1:5" ht="66" hidden="1" customHeight="1" x14ac:dyDescent="0.25">
      <c r="A27" s="270"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данные'!B143,2)&amp;" ("&amp;'Общие данные'!B144&amp;") so’m bo‘lgan kelishilgan garov qiymatida qabul qiladi::"</f>
        <v>Tomonlar o’rtasida o’tkazilgan muzokaralar natijalariga ko‘ra, 2-tomon ta’minot sifatida quyidagi tafsilotlarga ega bo’lgan garov predmetini taqdim etadi, 1-tomon esa ushbu garov predmetini  7 aprel 2026 y.dan № 323-BR mikroqarz shartnomasi bo‘yicha berilgan mikroqarz bo‘yicha  
49 000 000,00 (qirq to'qqiz million so'm) so’m bo‘lgan kelishilgan garov qiymatida qabul qiladi::</v>
      </c>
      <c r="B27" s="270"/>
      <c r="C27" s="270"/>
      <c r="D27" s="270"/>
      <c r="E27" s="270"/>
    </row>
    <row r="28" spans="1:5" ht="60.75" customHeight="1" x14ac:dyDescent="0.25">
      <c r="A28" s="270"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данные'!B143,2)&amp;" ("&amp;'Общие данные'!B144&amp;") so’m bo‘lgan kelishilgan garov qiymatida qabul qiladi::"</f>
        <v>Tomonlar o’rtasida o’tkazilgan muzokaralar natijalariga ko‘ra, 2-tomon ta’minot sifatida quyidagi tafsilotlarga ega bo’lgan garov predmetini taqdim etadi, 1-tomon esa ushbu garov predmetini  7 aprel 2026 y.dan № 323-BR Mikroqarz shartnomasi bo‘yicha berilgan mikroqarz bo‘yicha  
49 000 000,00 (qirq to'qqiz million so'm) so’m bo‘lgan kelishilgan garov qiymatida qabul qiladi::</v>
      </c>
      <c r="B28" s="270"/>
      <c r="C28" s="270"/>
      <c r="D28" s="270"/>
      <c r="E28" s="270"/>
    </row>
    <row r="29" spans="1:5" ht="51.75" customHeight="1" outlineLevel="1" x14ac:dyDescent="0.25">
      <c r="A29" s="36" t="s">
        <v>198</v>
      </c>
      <c r="B29" s="36" t="str">
        <f>B20</f>
        <v>Kuzov turi  va kuzov raqami*</v>
      </c>
      <c r="C29" s="36" t="str">
        <f>D20</f>
        <v>Dvigatel va shassi raqami*</v>
      </c>
      <c r="D29" s="36" t="str">
        <f>IF('Общие данные'!B110='Общие данные'!C110,"Ishlab chiqarilgan yili va rangi*","Foydalanishga topshirilgan sanasi")</f>
        <v>Ishlab chiqarilgan yili va rangi*</v>
      </c>
      <c r="E29" s="36" t="s">
        <v>199</v>
      </c>
    </row>
    <row r="30" spans="1:5" ht="76.5" customHeight="1" outlineLevel="1" x14ac:dyDescent="0.25">
      <c r="A30" s="15" t="str">
        <f>A21</f>
        <v>SPARK</v>
      </c>
      <c r="B30" s="15" t="str">
        <f>B21</f>
        <v>kuzov turi - YENGIL SEDAN, kuzov raqami XWBMF48NEJA525204</v>
      </c>
      <c r="C30" s="15" t="str">
        <f>D21</f>
        <v>dvigatel raqami B15D212181062B8JX0417, shassi raqami - RAKAMSIZ</v>
      </c>
      <c r="D30" s="15" t="str">
        <f>IF('Общие данные'!B110='Общие данные'!C110,E21,TEXT('Общие данные'!C142,"ДД.ММ.ГГГГ"))</f>
        <v>rangi -  OQ BELAYA, ishlab chiqarilgan yili - 2018</v>
      </c>
      <c r="E30" s="15" t="str">
        <f>""&amp;FIXED('Общие данные'!B143,2)&amp;" 
("&amp;'Общие данные'!B144&amp;")"</f>
        <v>49 000 000,00 
(qirq to'qqiz million so'm)</v>
      </c>
    </row>
    <row r="31" spans="1:5" ht="16.5" customHeight="1" x14ac:dyDescent="0.25">
      <c r="A31" s="14"/>
      <c r="B31" s="14"/>
      <c r="C31" s="14"/>
      <c r="D31" s="14"/>
      <c r="E31" s="14"/>
    </row>
    <row r="32" spans="1:5" ht="56.25" hidden="1" customHeight="1" outlineLevel="1" x14ac:dyDescent="0.25">
      <c r="A32" s="36" t="s">
        <v>4</v>
      </c>
      <c r="B32" s="36" t="s">
        <v>17</v>
      </c>
      <c r="C32" s="36" t="s">
        <v>18</v>
      </c>
      <c r="D32" s="36" t="s">
        <v>19</v>
      </c>
      <c r="E32" s="36" t="s">
        <v>5</v>
      </c>
    </row>
    <row r="33" spans="1:5" ht="15.75" hidden="1" customHeight="1" outlineLevel="1" x14ac:dyDescent="0.25">
      <c r="A33" s="15" t="e">
        <f>#REF!</f>
        <v>#REF!</v>
      </c>
      <c r="B33" s="101" t="e">
        <f>#REF!</f>
        <v>#REF!</v>
      </c>
      <c r="C33" s="101" t="e">
        <f>#REF!</f>
        <v>#REF!</v>
      </c>
      <c r="D33" s="101" t="e">
        <f>#REF!</f>
        <v>#REF!</v>
      </c>
      <c r="E33" s="342" t="str">
        <f>""&amp;FIXED('Общие данные'!C143,2)&amp;" ("&amp;'Общие данные'!B144&amp;")"</f>
        <v>49 000 000,00 (qirq to'qqiz million so'm)</v>
      </c>
    </row>
    <row r="34" spans="1:5" ht="15.75" hidden="1" customHeight="1" outlineLevel="1" x14ac:dyDescent="0.25">
      <c r="A34" s="15"/>
      <c r="B34" s="101"/>
      <c r="C34" s="101"/>
      <c r="D34" s="101"/>
      <c r="E34" s="343"/>
    </row>
    <row r="35" spans="1:5" ht="15.75" hidden="1" customHeight="1" outlineLevel="1" x14ac:dyDescent="0.25">
      <c r="A35" s="15" t="e">
        <f>#REF!</f>
        <v>#REF!</v>
      </c>
      <c r="B35" s="101" t="e">
        <f>#REF!</f>
        <v>#REF!</v>
      </c>
      <c r="C35" s="101" t="e">
        <f>#REF!</f>
        <v>#REF!</v>
      </c>
      <c r="D35" s="101" t="e">
        <f>#REF!</f>
        <v>#REF!</v>
      </c>
      <c r="E35" s="343"/>
    </row>
    <row r="36" spans="1:5" ht="15.75" hidden="1" customHeight="1" outlineLevel="1" x14ac:dyDescent="0.25">
      <c r="A36" s="15" t="e">
        <f>#REF!</f>
        <v>#REF!</v>
      </c>
      <c r="B36" s="101" t="e">
        <f>#REF!</f>
        <v>#REF!</v>
      </c>
      <c r="C36" s="101" t="e">
        <f>#REF!</f>
        <v>#REF!</v>
      </c>
      <c r="D36" s="101" t="e">
        <f>#REF!</f>
        <v>#REF!</v>
      </c>
      <c r="E36" s="343"/>
    </row>
    <row r="37" spans="1:5" ht="15.75" hidden="1" customHeight="1" outlineLevel="1" x14ac:dyDescent="0.25">
      <c r="A37" s="15" t="e">
        <f>#REF!</f>
        <v>#REF!</v>
      </c>
      <c r="B37" s="101" t="e">
        <f>#REF!</f>
        <v>#REF!</v>
      </c>
      <c r="C37" s="101" t="e">
        <f>#REF!</f>
        <v>#REF!</v>
      </c>
      <c r="D37" s="101" t="e">
        <f>#REF!</f>
        <v>#REF!</v>
      </c>
      <c r="E37" s="343"/>
    </row>
    <row r="38" spans="1:5" ht="15.75" hidden="1" customHeight="1" outlineLevel="1" x14ac:dyDescent="0.25">
      <c r="A38" s="15" t="e">
        <f>#REF!</f>
        <v>#REF!</v>
      </c>
      <c r="B38" s="101" t="e">
        <f>#REF!</f>
        <v>#REF!</v>
      </c>
      <c r="C38" s="101" t="e">
        <f>#REF!</f>
        <v>#REF!</v>
      </c>
      <c r="D38" s="101" t="e">
        <f>#REF!</f>
        <v>#REF!</v>
      </c>
      <c r="E38" s="343"/>
    </row>
    <row r="39" spans="1:5" ht="15.75" hidden="1" customHeight="1" outlineLevel="1" x14ac:dyDescent="0.25">
      <c r="A39" s="15" t="e">
        <f>#REF!</f>
        <v>#REF!</v>
      </c>
      <c r="B39" s="101" t="e">
        <f>#REF!</f>
        <v>#REF!</v>
      </c>
      <c r="C39" s="101" t="e">
        <f>#REF!</f>
        <v>#REF!</v>
      </c>
      <c r="D39" s="101" t="e">
        <f>#REF!</f>
        <v>#REF!</v>
      </c>
      <c r="E39" s="343"/>
    </row>
    <row r="40" spans="1:5" ht="15.75" hidden="1" customHeight="1" outlineLevel="1" x14ac:dyDescent="0.25">
      <c r="A40" s="15" t="e">
        <f>#REF!</f>
        <v>#REF!</v>
      </c>
      <c r="B40" s="101" t="e">
        <f>#REF!</f>
        <v>#REF!</v>
      </c>
      <c r="C40" s="101" t="e">
        <f>#REF!</f>
        <v>#REF!</v>
      </c>
      <c r="D40" s="101" t="e">
        <f>#REF!</f>
        <v>#REF!</v>
      </c>
      <c r="E40" s="343"/>
    </row>
    <row r="41" spans="1:5" ht="15.75" hidden="1" customHeight="1" outlineLevel="1" x14ac:dyDescent="0.25">
      <c r="A41" s="15" t="e">
        <f>#REF!</f>
        <v>#REF!</v>
      </c>
      <c r="B41" s="101" t="e">
        <f>#REF!</f>
        <v>#REF!</v>
      </c>
      <c r="C41" s="101" t="e">
        <f>#REF!</f>
        <v>#REF!</v>
      </c>
      <c r="D41" s="101" t="e">
        <f>#REF!</f>
        <v>#REF!</v>
      </c>
      <c r="E41" s="343"/>
    </row>
    <row r="42" spans="1:5" ht="15.75" hidden="1" customHeight="1" outlineLevel="1" x14ac:dyDescent="0.25">
      <c r="A42" s="15" t="e">
        <f>#REF!</f>
        <v>#REF!</v>
      </c>
      <c r="B42" s="101" t="e">
        <f>#REF!</f>
        <v>#REF!</v>
      </c>
      <c r="C42" s="101" t="e">
        <f>#REF!</f>
        <v>#REF!</v>
      </c>
      <c r="D42" s="101" t="e">
        <f>#REF!</f>
        <v>#REF!</v>
      </c>
      <c r="E42" s="343"/>
    </row>
    <row r="43" spans="1:5" ht="15.75" hidden="1" customHeight="1" outlineLevel="1" x14ac:dyDescent="0.25">
      <c r="A43" s="15" t="e">
        <f>#REF!</f>
        <v>#REF!</v>
      </c>
      <c r="B43" s="15" t="e">
        <f>#REF!</f>
        <v>#REF!</v>
      </c>
      <c r="C43" s="15" t="e">
        <f>#REF!</f>
        <v>#REF!</v>
      </c>
      <c r="D43" s="15" t="e">
        <f>#REF!</f>
        <v>#REF!</v>
      </c>
      <c r="E43" s="344"/>
    </row>
    <row r="44" spans="1:5" s="34" customFormat="1" ht="15.75" hidden="1" customHeight="1" outlineLevel="1" x14ac:dyDescent="0.2">
      <c r="A44" s="36" t="e">
        <f>#REF!</f>
        <v>#REF!</v>
      </c>
      <c r="B44" s="36" t="e">
        <f>#REF!</f>
        <v>#REF!</v>
      </c>
      <c r="C44" s="36" t="e">
        <f>#REF!</f>
        <v>#REF!</v>
      </c>
      <c r="D44" s="36" t="e">
        <f>#REF!</f>
        <v>#REF!</v>
      </c>
      <c r="E44" s="36" t="str">
        <f>FIXED('Общие данные'!C143,2)</f>
        <v>49 000 000,00</v>
      </c>
    </row>
    <row r="45" spans="1:5" ht="12.75" customHeight="1" collapsed="1" x14ac:dyDescent="0.25">
      <c r="A45" s="14"/>
      <c r="B45" s="14"/>
      <c r="C45" s="14"/>
      <c r="D45" s="14"/>
      <c r="E45" s="14"/>
    </row>
    <row r="46" spans="1:5" ht="93.75" hidden="1" customHeight="1" x14ac:dyDescent="0.25">
      <c r="A46" s="270"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70"/>
      <c r="C46" s="270"/>
      <c r="D46" s="270"/>
      <c r="E46" s="270"/>
    </row>
    <row r="47" spans="1:5" ht="42" customHeight="1" x14ac:dyDescent="0.25">
      <c r="A47" s="270" t="s">
        <v>202</v>
      </c>
      <c r="B47" s="270"/>
      <c r="C47" s="270"/>
      <c r="D47" s="270"/>
      <c r="E47" s="270"/>
    </row>
    <row r="48" spans="1:5" ht="35.25" customHeight="1" x14ac:dyDescent="0.25">
      <c r="A48" s="270" t="str">
        <f>"Shunday qilib, garov predmetining kelishilgan garov qiymati  "&amp;FIXED('Общие данные'!B143)&amp;" ("&amp;'Общие данные'!B144&amp;") so‘mni tashkil etadi."</f>
        <v>Shunday qilib, garov predmetining kelishilgan garov qiymati  49 000 000,00 (qirq to'qqiz million so'm) so‘mni tashkil etadi.</v>
      </c>
      <c r="B48" s="270"/>
      <c r="C48" s="270"/>
      <c r="D48" s="270"/>
      <c r="E48" s="270"/>
    </row>
    <row r="49" spans="1:6" ht="35.25" hidden="1" customHeight="1" x14ac:dyDescent="0.25">
      <c r="A49" s="17"/>
      <c r="B49" s="17"/>
      <c r="C49" s="17"/>
      <c r="D49" s="17">
        <f>IF('Общие данные'!B99='Общие данные'!C99,'Общие данные'!C143,IF('Общие данные'!B99='Общие данные'!D99,'Данные для послед. Залога'!M22,0))</f>
        <v>49000000</v>
      </c>
      <c r="E49" s="17" t="str">
        <f>IF('Общие данные'!B99='Общие данные'!C99,'Общие данные'!B144,IF('Общие данные'!B99='Общие данные'!D99,'Данные для послед. Залога'!Q22,0))</f>
        <v>qirq to'qqiz million so'm</v>
      </c>
    </row>
    <row r="50" spans="1:6" x14ac:dyDescent="0.25">
      <c r="A50" s="310" t="s">
        <v>203</v>
      </c>
      <c r="B50" s="310"/>
      <c r="C50" s="310"/>
      <c r="D50" s="19"/>
      <c r="E50" s="19"/>
    </row>
    <row r="51" spans="1:6" x14ac:dyDescent="0.25">
      <c r="A51" s="310" t="str">
        <f>'Общие данные'!B159</f>
        <v>«PULLOL BUSINESS MIKROMOLIYA TASHKILOTI»  MChJ</v>
      </c>
      <c r="B51" s="310"/>
      <c r="C51" s="310"/>
      <c r="D51" s="151"/>
      <c r="E51" s="151"/>
    </row>
    <row r="52" spans="1:6" ht="15" customHeight="1" x14ac:dyDescent="0.25">
      <c r="A52" s="310" t="str">
        <f>""&amp;'Общие данные'!A171&amp;""</f>
        <v>Buxoro filiali boshlig’i</v>
      </c>
      <c r="B52" s="310"/>
      <c r="C52" s="310"/>
      <c r="D52" s="192"/>
      <c r="E52" s="192" t="str">
        <f>'Общие данные'!B171</f>
        <v>Ikromov B.A.</v>
      </c>
    </row>
    <row r="53" spans="1:6" x14ac:dyDescent="0.25">
      <c r="A53" s="50"/>
      <c r="B53" s="50"/>
      <c r="C53" s="50"/>
      <c r="D53" s="50"/>
      <c r="E53" s="50"/>
    </row>
    <row r="54" spans="1:6" x14ac:dyDescent="0.25">
      <c r="A54" s="310"/>
      <c r="B54" s="310"/>
      <c r="C54" s="310"/>
      <c r="D54" s="50"/>
      <c r="E54" s="50"/>
    </row>
    <row r="55" spans="1:6" hidden="1" x14ac:dyDescent="0.25">
      <c r="A55" s="271" t="s">
        <v>42</v>
      </c>
      <c r="B55" s="271"/>
      <c r="C55" s="271"/>
      <c r="D55" s="50"/>
      <c r="E55" s="50"/>
    </row>
    <row r="56" spans="1:6" hidden="1" x14ac:dyDescent="0.25">
      <c r="A56" s="271" t="str">
        <f>'Общие данные'!B159</f>
        <v>«PULLOL BUSINESS MIKROMOLIYA TASHKILOTI»  MChJ</v>
      </c>
      <c r="B56" s="271"/>
      <c r="C56" s="271"/>
      <c r="D56" s="271" t="str">
        <f>"_______________   "&amp;'Общие данные'!B170&amp;""</f>
        <v>_______________   Akramov R.N.</v>
      </c>
      <c r="E56" s="271"/>
    </row>
    <row r="57" spans="1:6" ht="12.75" customHeight="1" x14ac:dyDescent="0.25">
      <c r="A57" s="271"/>
      <c r="B57" s="271"/>
      <c r="C57" s="271"/>
      <c r="D57" s="271"/>
      <c r="E57" s="271"/>
    </row>
    <row r="58" spans="1:6" x14ac:dyDescent="0.25">
      <c r="A58" s="310" t="s">
        <v>204</v>
      </c>
      <c r="B58" s="310"/>
      <c r="C58" s="310"/>
      <c r="D58" s="271"/>
      <c r="E58" s="271"/>
    </row>
    <row r="59" spans="1:6" ht="31.5" customHeight="1" x14ac:dyDescent="0.25">
      <c r="A59" s="271" t="s">
        <v>205</v>
      </c>
      <c r="B59" s="271"/>
      <c r="C59" s="271"/>
      <c r="D59" s="310" t="str">
        <f>"_____________ "&amp;'Общие данные'!B7&amp;""</f>
        <v>_____________ ALLAMURODOV M.Y.</v>
      </c>
      <c r="E59" s="310"/>
    </row>
    <row r="60" spans="1:6" x14ac:dyDescent="0.25">
      <c r="A60" s="271"/>
      <c r="B60" s="271"/>
      <c r="C60" s="271"/>
      <c r="D60" s="341" t="str">
        <f>IF('Общие данные'!B100="да","",'Общие данные'!B125)</f>
        <v>RO'ZIYEV O.O.</v>
      </c>
      <c r="E60" s="341"/>
    </row>
    <row r="61" spans="1:6" x14ac:dyDescent="0.25">
      <c r="A61" s="310" t="str">
        <f>+IF('Общие данные'!B100="ha"," ","3-tomondan:")</f>
        <v>3-tomondan:</v>
      </c>
      <c r="B61" s="310"/>
      <c r="C61" s="310"/>
      <c r="D61" s="310"/>
      <c r="E61" s="310"/>
      <c r="F61" s="13">
        <f>IF('Общие данные'!B101='Общие данные'!D101,B7,"")</f>
        <v>0</v>
      </c>
    </row>
    <row r="62" spans="1:6" x14ac:dyDescent="0.25">
      <c r="A62" s="271" t="str">
        <f>+IF('Общие данные'!B100="ha"," ","O'zbekiston Respublikasi fuqarosi")</f>
        <v>O'zbekiston Respublikasi fuqarosi</v>
      </c>
      <c r="B62" s="271"/>
      <c r="C62" s="271"/>
      <c r="D62" s="310" t="str">
        <f>"_____________ "&amp;'Общие данные'!B113</f>
        <v>_____________ RO'ZIYEV O.O.</v>
      </c>
      <c r="E62" s="310"/>
    </row>
    <row r="63" spans="1:6" hidden="1" x14ac:dyDescent="0.25">
      <c r="A63" s="13" t="str">
        <f>+IF('Общие данные'!B100="ha"," ","O'zbekiston Respublikasi fuqarosi")</f>
        <v>O'zbekiston Respublikasi fuqarosi</v>
      </c>
      <c r="D63" s="345" t="str">
        <f>+IF('Общие данные'!B100="ha"," ","_______________  "&amp;'Общие данные'!B113&amp;"")</f>
        <v>_______________  RO'ZIYEV O.O.</v>
      </c>
      <c r="E63" s="345"/>
    </row>
    <row r="64" spans="1:6" x14ac:dyDescent="0.25">
      <c r="B64" s="340" t="str">
        <f>'заявление залогодателя'!A20</f>
        <v xml:space="preserve">№202602372001231 07.04.2026 ysanasidan xususiy faoliyat ko'rsatuvchi notarius tomonidan  BUXORO VILOYATI BUXORO SHAHRI BOG'ISHAMOL KO'CHASI 1/7 UY 1-XONA berilgan ishonchnomaga asosan </v>
      </c>
      <c r="C64" s="340"/>
      <c r="D64" s="340"/>
      <c r="E64" s="340"/>
    </row>
    <row r="65" spans="1:5" x14ac:dyDescent="0.25">
      <c r="B65" s="340"/>
      <c r="C65" s="340"/>
      <c r="D65" s="340"/>
      <c r="E65" s="340"/>
    </row>
    <row r="66" spans="1:5" x14ac:dyDescent="0.25">
      <c r="B66" s="340"/>
      <c r="C66" s="340"/>
      <c r="D66" s="340"/>
      <c r="E66" s="340"/>
    </row>
    <row r="67" spans="1:5" x14ac:dyDescent="0.25">
      <c r="B67" s="340"/>
      <c r="C67" s="340"/>
      <c r="D67" s="340"/>
      <c r="E67" s="340"/>
    </row>
    <row r="69" spans="1:5" x14ac:dyDescent="0.25">
      <c r="A69" s="13" t="s">
        <v>205</v>
      </c>
    </row>
  </sheetData>
  <mergeCells count="50">
    <mergeCell ref="A61:C61"/>
    <mergeCell ref="D61:E61"/>
    <mergeCell ref="A62:C62"/>
    <mergeCell ref="D62:E62"/>
    <mergeCell ref="D63:E63"/>
    <mergeCell ref="B64:E67"/>
    <mergeCell ref="A22:E22"/>
    <mergeCell ref="A23:E23"/>
    <mergeCell ref="A14:E14"/>
    <mergeCell ref="A15:E15"/>
    <mergeCell ref="A16:E16"/>
    <mergeCell ref="A17:E17"/>
    <mergeCell ref="A18:E18"/>
    <mergeCell ref="A58:C58"/>
    <mergeCell ref="D58:E58"/>
    <mergeCell ref="A59:C59"/>
    <mergeCell ref="D59:E59"/>
    <mergeCell ref="A60:C60"/>
    <mergeCell ref="D60:E60"/>
    <mergeCell ref="A27:E27"/>
    <mergeCell ref="E33:E43"/>
    <mergeCell ref="A54:C54"/>
    <mergeCell ref="A55:C55"/>
    <mergeCell ref="A57:C57"/>
    <mergeCell ref="D57:E57"/>
    <mergeCell ref="A56:C56"/>
    <mergeCell ref="D56:E56"/>
    <mergeCell ref="A19:E19"/>
    <mergeCell ref="A24:E24"/>
    <mergeCell ref="A50:C50"/>
    <mergeCell ref="A51:C51"/>
    <mergeCell ref="A52:C52"/>
    <mergeCell ref="A46:E46"/>
    <mergeCell ref="A47:E47"/>
    <mergeCell ref="B20:C20"/>
    <mergeCell ref="B21:C21"/>
    <mergeCell ref="A28:E28"/>
    <mergeCell ref="A48:E48"/>
    <mergeCell ref="A26:E26"/>
    <mergeCell ref="A25:E25"/>
    <mergeCell ref="A2:E2"/>
    <mergeCell ref="A11:E11"/>
    <mergeCell ref="A12:E12"/>
    <mergeCell ref="A13:E13"/>
    <mergeCell ref="A10:E10"/>
    <mergeCell ref="A5:E5"/>
    <mergeCell ref="A6:E6"/>
    <mergeCell ref="A7:E7"/>
    <mergeCell ref="A8:E8"/>
    <mergeCell ref="A9:E9"/>
  </mergeCells>
  <printOptions horizontalCentered="1"/>
  <pageMargins left="0.70866141732283472" right="0.70866141732283472" top="0.74803149606299213" bottom="0.74803149606299213" header="0.31496062992125984" footer="0.31496062992125984"/>
  <pageSetup paperSize="9" scale="7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00B050"/>
  </sheetPr>
  <dimension ref="A1:E27"/>
  <sheetViews>
    <sheetView view="pageBreakPreview" topLeftCell="A13" zoomScaleSheetLayoutView="100" workbookViewId="0">
      <selection activeCell="A6" sqref="A6:E6"/>
    </sheetView>
  </sheetViews>
  <sheetFormatPr defaultColWidth="9.140625" defaultRowHeight="15" outlineLevelRow="1" x14ac:dyDescent="0.25"/>
  <cols>
    <col min="1" max="1" width="23.85546875" style="13" customWidth="1"/>
    <col min="2" max="2" width="23.28515625" style="13" customWidth="1"/>
    <col min="3" max="3" width="17" style="13" customWidth="1"/>
    <col min="4" max="4" width="17.5703125" style="13" customWidth="1"/>
    <col min="5" max="5" width="19.7109375" style="13" customWidth="1"/>
    <col min="6" max="16384" width="9.140625" style="13"/>
  </cols>
  <sheetData>
    <row r="1" spans="1:5" ht="16.5" customHeight="1" x14ac:dyDescent="0.25"/>
    <row r="2" spans="1:5" ht="17.25" customHeight="1" x14ac:dyDescent="0.25">
      <c r="A2" s="311" t="str">
        <f>""&amp;'Общие данные'!B158&amp;" direktori v.v.b.ning
"&amp;'Общие данные'!B176&amp;"dagi "&amp;'Общие данные'!B175&amp;"-sonli buyrug‘i"</f>
        <v>«PULLOL BUSINESS MIKROMOLIYA TASHKILOTI»  MChJ direktori v.v.b.ning
7 aprel 2026 y.dagi № 323-BR-sonli buyrug‘i</v>
      </c>
      <c r="B2" s="311"/>
      <c r="C2" s="311"/>
      <c r="D2" s="311"/>
      <c r="E2" s="311"/>
    </row>
    <row r="3" spans="1:5" x14ac:dyDescent="0.25">
      <c r="A3" s="311"/>
      <c r="B3" s="311"/>
      <c r="C3" s="311"/>
      <c r="D3" s="311"/>
      <c r="E3" s="311"/>
    </row>
    <row r="4" spans="1:5" x14ac:dyDescent="0.25">
      <c r="A4" s="311"/>
      <c r="B4" s="311"/>
      <c r="C4" s="311"/>
      <c r="D4" s="311"/>
      <c r="E4" s="311"/>
    </row>
    <row r="5" spans="1:5" x14ac:dyDescent="0.25">
      <c r="A5" s="270"/>
      <c r="B5" s="270"/>
      <c r="C5" s="270"/>
      <c r="D5" s="270"/>
      <c r="E5" s="270"/>
    </row>
    <row r="6" spans="1:5" ht="53.25" customHeight="1" x14ac:dyDescent="0.25">
      <c r="A6" s="270" t="str">
        <f>"Men, "&amp;'Общие данные'!B162&amp;" "&amp;'Общие данные'!B158&amp;" direktori v.v.b., jismoniy shaxs "&amp;'Общие данные'!B10&amp;"ga quyidagi shartlarda "&amp;'Общие данные'!B65&amp;" berishni buyuraman:"</f>
        <v>Men, Mominov Botirjon Xasanbay o'g'li «PULLOL BUSINESS MIKROMOLIYA TASHKILOTI»  MChJ direktori v.v.b., jismoniy shaxs ALLAMURODOV MUHAMMAD YOQUB O‘G‘LIga quyidagi shartlarda mikroqarz berishni buyuraman:</v>
      </c>
      <c r="B6" s="270"/>
      <c r="C6" s="270"/>
      <c r="D6" s="270"/>
      <c r="E6" s="270"/>
    </row>
    <row r="7" spans="1:5" ht="26.25" customHeight="1" x14ac:dyDescent="0.25">
      <c r="A7" s="270" t="str">
        <f>'Кредитная заявка'!A13:D13</f>
        <v>Mikroqarz summasi: 52 000 000,00 (ellik ikki million so'm) so'm.</v>
      </c>
      <c r="B7" s="270"/>
      <c r="C7" s="270"/>
      <c r="D7" s="270"/>
      <c r="E7" s="270"/>
    </row>
    <row r="8" spans="1:5" ht="21" customHeight="1" x14ac:dyDescent="0.25">
      <c r="A8" s="270" t="str">
        <f>'Кредитная заявка'!A14:D14</f>
        <v>Mikroqarz muddati: 36 (O'ttiz olti  ) oy.</v>
      </c>
      <c r="B8" s="270"/>
      <c r="C8" s="270"/>
      <c r="D8" s="270"/>
      <c r="E8" s="270"/>
    </row>
    <row r="9" spans="1:5" ht="27" customHeight="1" x14ac:dyDescent="0.25">
      <c r="A9" s="270" t="str">
        <f>'Кредитная заявка'!A15:D15</f>
        <v>Mikroqarzdan foydalanganlik uchun foiz stavkasi: yillik  55% (Ellik besh  ) foiz</v>
      </c>
      <c r="B9" s="270"/>
      <c r="C9" s="270"/>
      <c r="D9" s="270"/>
      <c r="E9" s="270"/>
    </row>
    <row r="10" spans="1:5" ht="26.25" customHeight="1" x14ac:dyDescent="0.25">
      <c r="A10" s="270" t="str">
        <f>'Кредитная заявка'!A16:D16</f>
        <v>Mikroqarz bo'yicha asosiy qarz va foizlarni to'lash:</v>
      </c>
      <c r="B10" s="270"/>
      <c r="C10" s="270"/>
      <c r="D10" s="270"/>
      <c r="E10" s="270"/>
    </row>
    <row r="11" spans="1:5" ht="21.75" hidden="1" customHeight="1" x14ac:dyDescent="0.25">
      <c r="A11" s="270" t="str">
        <f>'Кредитная заявка'!A17:D17</f>
        <v xml:space="preserve"> - mikroqarz shartnomasi bo'yicha har oy differensial to'lovlari amalga oshiriladi</v>
      </c>
      <c r="B11" s="270"/>
      <c r="C11" s="270"/>
      <c r="D11" s="270"/>
      <c r="E11" s="270"/>
    </row>
    <row r="12" spans="1:5" hidden="1" x14ac:dyDescent="0.25">
      <c r="A12" s="270" t="str">
        <f>'Кредитная заявка'!A19:D19</f>
        <v xml:space="preserve"> - mikroqarz shartnomasi bo'yicha har oy differensial to'lovlari amalga oshiriladi</v>
      </c>
      <c r="B12" s="270"/>
      <c r="C12" s="270"/>
      <c r="D12" s="270"/>
      <c r="E12" s="270"/>
    </row>
    <row r="13" spans="1:5" ht="23.25" customHeight="1" x14ac:dyDescent="0.25">
      <c r="A13" s="270" t="str">
        <f>IF('Общие данные'!B110="Avtotransport",'Приказ на сделку'!A12:E12,'Приказ на сделку'!A11:E11)</f>
        <v xml:space="preserve"> - mikroqarz shartnomasi bo'yicha har oy differensial to'lovlari amalga oshiriladi</v>
      </c>
      <c r="B13" s="270"/>
      <c r="C13" s="270"/>
      <c r="D13" s="270"/>
      <c r="E13" s="270"/>
    </row>
    <row r="14" spans="1:5" ht="45.75" customHeight="1" x14ac:dyDescent="0.25">
      <c r="A14" s="271" t="str">
        <f>IF('Общие данные'!B110='Общие данные'!D110,""&amp;'Общие данные'!C124&amp;"ga tegishli "&amp;'Общие данные'!C133&amp;" ko'rinishidagi ko'chmas mulkni quyidagi ma'lumotlarga muvofiq  garovga qabul qilinsin:",""&amp;'Общие данные'!B124&amp;"ga tegishli "&amp;'Общие данные'!B132&amp;" ko'rinishidagi transport vositasini quyidagi ma'lumotlarga muvofiq garovga qabul qilinsin:")</f>
        <v>RO'ZIYEV ODILJON OLIMJONOVICHga tegishli SPARK ko'rinishidagi transport vositasini quyidagi ma'lumotlarga muvofiq garovga qabul qilinsin:</v>
      </c>
      <c r="B14" s="271"/>
      <c r="C14" s="271"/>
      <c r="D14" s="271"/>
      <c r="E14" s="271"/>
    </row>
    <row r="15" spans="1:5" ht="50.25" hidden="1" customHeight="1" x14ac:dyDescent="0.25">
      <c r="A15" s="270" t="str">
        <f>""&amp;'Общие данные'!C124&amp;"ga tegishli "&amp;'Общие данные'!C133&amp;" ko'rinishidagi ko'chmas mulkni quyidagi ma'lumotlarga muvofiq  garovga qabul qilinsin:"</f>
        <v>0ga tegishli  0 ko'rinishidagi ko'chmas mulkni quyidagi ma'lumotlarga muvofiq  garovga qabul qilinsin:</v>
      </c>
      <c r="B15" s="270"/>
      <c r="C15" s="270"/>
      <c r="D15" s="270"/>
      <c r="E15" s="270"/>
    </row>
    <row r="16" spans="1:5" ht="47.25" hidden="1" customHeight="1" x14ac:dyDescent="0.25">
      <c r="A16" s="270" t="str">
        <f>""&amp;'Общие данные'!B124&amp;"ga tegishli "&amp;'Общие данные'!B132&amp;" ko'rinishidagi transport vositasini quyidagi ma'lumotlarga muvofiq garovga qabul qilinsin:"</f>
        <v>RO'ZIYEV ODILJON OLIMJONOVICHga tegishli SPARK ko'rinishidagi transport vositasini quyidagi ma'lumotlarga muvofiq garovga qabul qilinsin:</v>
      </c>
      <c r="B16" s="270"/>
      <c r="C16" s="270"/>
      <c r="D16" s="270"/>
      <c r="E16" s="270"/>
    </row>
    <row r="17" spans="1:5" s="34" customFormat="1" ht="60" customHeight="1" outlineLevel="1" x14ac:dyDescent="0.2">
      <c r="A17" s="36" t="str">
        <f>'Акт согласования'!A29</f>
        <v>Nomi</v>
      </c>
      <c r="B17" s="36" t="str">
        <f>'Акт согласования'!B29</f>
        <v>Kuzov turi  va kuzov raqami*</v>
      </c>
      <c r="C17" s="36" t="str">
        <f>'Акт согласования'!C29</f>
        <v>Dvigatel va shassi raqami*</v>
      </c>
      <c r="D17" s="36" t="str">
        <f>'Акт согласования'!D29</f>
        <v>Ishlab chiqarilgan yili va rangi*</v>
      </c>
      <c r="E17" s="36" t="str">
        <f>'Акт согласования'!E29</f>
        <v>Kelishilgan garov qiymati, so'm</v>
      </c>
    </row>
    <row r="18" spans="1:5" ht="80.25" customHeight="1" outlineLevel="1" x14ac:dyDescent="0.25">
      <c r="A18" s="15" t="str">
        <f>'Акт согласования'!A30</f>
        <v>SPARK</v>
      </c>
      <c r="B18" s="15" t="str">
        <f>'Акт согласования'!B30</f>
        <v>kuzov turi - YENGIL SEDAN, kuzov raqami XWBMF48NEJA525204</v>
      </c>
      <c r="C18" s="15" t="str">
        <f>'Акт согласования'!C30</f>
        <v>dvigatel raqami B15D212181062B8JX0417, shassi raqami - RAKAMSIZ</v>
      </c>
      <c r="D18" s="15" t="str">
        <f>'Акт согласования'!D30</f>
        <v>rangi -  OQ BELAYA, ishlab chiqarilgan yili - 2018</v>
      </c>
      <c r="E18" s="15" t="str">
        <f>'Акт согласования'!E30</f>
        <v>49 000 000,00 
(qirq to'qqiz million so'm)</v>
      </c>
    </row>
    <row r="19" spans="1:5" ht="20.25" customHeight="1" outlineLevel="1" x14ac:dyDescent="0.25">
      <c r="A19" s="270" t="str">
        <f>'Акт согласования'!A22:E22</f>
        <v>-* avtotransport egasi: RO'ZIYEV ODILJON OLIMJONOVICH</v>
      </c>
      <c r="B19" s="270"/>
      <c r="C19" s="270"/>
      <c r="D19" s="270"/>
      <c r="E19" s="270"/>
    </row>
    <row r="20" spans="1:5" ht="20.25" customHeight="1" outlineLevel="1" x14ac:dyDescent="0.25">
      <c r="A20" s="270" t="str">
        <f>'Акт согласования'!A23:E23</f>
        <v>-* texnik pasport: AAG   2554881   10.10.2023 y</v>
      </c>
      <c r="B20" s="270"/>
      <c r="C20" s="270"/>
      <c r="D20" s="270"/>
      <c r="E20" s="270"/>
    </row>
    <row r="21" spans="1:5" ht="36" customHeight="1" outlineLevel="1" x14ac:dyDescent="0.25">
      <c r="A21" s="270" t="str">
        <f>'Акт согласования'!A24:E24</f>
        <v>-* roʻyxatdan oʻtgan manzili/garaj manzili: BUXORO VILOYATI OLOT TUMANI ASAJAM MFY ASAJAM</v>
      </c>
      <c r="B21" s="270"/>
      <c r="C21" s="270"/>
      <c r="D21" s="270"/>
      <c r="E21" s="270"/>
    </row>
    <row r="22" spans="1:5" ht="19.5" customHeight="1" outlineLevel="1" x14ac:dyDescent="0.25">
      <c r="A22" s="270" t="str">
        <f>'Акт согласования'!A25:E25</f>
        <v>-* davlat raqami: 80F845XA</v>
      </c>
      <c r="B22" s="270"/>
      <c r="C22" s="270"/>
      <c r="D22" s="270"/>
      <c r="E22" s="270"/>
    </row>
    <row r="23" spans="1:5" ht="31.15" customHeight="1" x14ac:dyDescent="0.25">
      <c r="A23" s="271" t="str">
        <f>"	«"&amp;'Общие данные'!B154&amp;"» АJ sug‘urta kompaniyasi bilan "&amp;'Общие данные'!C64&amp;"  to'lamaslik xavfini "&amp;FIXED('Общие данные'!B155,2)&amp;"("&amp;'Общие данные'!B156&amp;") so'm miqdoriga sug’urta qilish shartnomasi tuzilsin"</f>
        <v xml:space="preserve">	«АО СК "IMPEX INSURANCE"» АJ sug‘urta kompaniyasi bilan Mikroqarz  to'lamaslik xavfini 23 800 000,00(yigirma uch million sakkiz yuz ming so'm) so'm miqdoriga sug’urta qilish shartnomasi tuzilsin</v>
      </c>
      <c r="B23" s="271"/>
      <c r="C23" s="271"/>
      <c r="D23" s="271"/>
      <c r="E23" s="271"/>
    </row>
    <row r="24" spans="1:5" s="34" customFormat="1" x14ac:dyDescent="0.2">
      <c r="A24" s="270"/>
      <c r="B24" s="270"/>
      <c r="C24" s="270"/>
      <c r="D24" s="270"/>
      <c r="E24" s="270"/>
    </row>
    <row r="25" spans="1:5" x14ac:dyDescent="0.25">
      <c r="B25" s="34"/>
    </row>
    <row r="26" spans="1:5" x14ac:dyDescent="0.25">
      <c r="B26" s="34"/>
    </row>
    <row r="27" spans="1:5" ht="67.5" customHeight="1" x14ac:dyDescent="0.25">
      <c r="A27" s="121" t="s">
        <v>455</v>
      </c>
      <c r="B27" s="34"/>
      <c r="D27" s="34" t="str">
        <f>'Общие данные'!B161</f>
        <v>Mominov B. X.</v>
      </c>
    </row>
  </sheetData>
  <mergeCells count="19">
    <mergeCell ref="A2:E4"/>
    <mergeCell ref="A24:E24"/>
    <mergeCell ref="A20:E20"/>
    <mergeCell ref="A12:E12"/>
    <mergeCell ref="A16:E16"/>
    <mergeCell ref="A5:E5"/>
    <mergeCell ref="A6:E6"/>
    <mergeCell ref="A11:E11"/>
    <mergeCell ref="A7:E7"/>
    <mergeCell ref="A8:E8"/>
    <mergeCell ref="A9:E9"/>
    <mergeCell ref="A10:E10"/>
    <mergeCell ref="A19:E19"/>
    <mergeCell ref="A13:E13"/>
    <mergeCell ref="A15:E15"/>
    <mergeCell ref="A14:E14"/>
    <mergeCell ref="A21:E21"/>
    <mergeCell ref="A22:E22"/>
    <mergeCell ref="A23:E23"/>
  </mergeCells>
  <pageMargins left="0.70866141732283472" right="0.70866141732283472" top="0.74803149606299213" bottom="0.74803149606299213" header="0.31496062992125984" footer="0.31496062992125984"/>
  <pageSetup paperSize="9" scale="8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9">
    <tabColor theme="1"/>
  </sheetPr>
  <dimension ref="A1:V76"/>
  <sheetViews>
    <sheetView topLeftCell="A16" zoomScale="70" zoomScaleNormal="70" zoomScaleSheetLayoutView="70" workbookViewId="0">
      <selection activeCell="D56" sqref="D56:F56"/>
    </sheetView>
  </sheetViews>
  <sheetFormatPr defaultColWidth="9.140625" defaultRowHeight="15" outlineLevelCol="1" x14ac:dyDescent="0.25"/>
  <cols>
    <col min="1" max="1" width="9.140625" style="77"/>
    <col min="2" max="2" width="12.28515625" style="77" customWidth="1"/>
    <col min="3" max="3" width="16.5703125" style="77" customWidth="1"/>
    <col min="4" max="4" width="16.7109375" style="77" customWidth="1"/>
    <col min="5" max="5" width="16.5703125" style="77" customWidth="1"/>
    <col min="6" max="6" width="20.85546875" style="77" customWidth="1"/>
    <col min="7" max="7" width="10.140625" style="77" customWidth="1" outlineLevel="1"/>
    <col min="8" max="8" width="19.140625" style="77" customWidth="1"/>
    <col min="9" max="9" width="21.42578125" style="77" customWidth="1"/>
    <col min="10" max="10" width="20.85546875" style="77" customWidth="1"/>
    <col min="11" max="11" width="20.140625" style="77" customWidth="1"/>
    <col min="12" max="12" width="21.42578125" style="77" customWidth="1"/>
    <col min="13" max="13" width="25.42578125" style="77" customWidth="1"/>
    <col min="14" max="14" width="18.28515625" style="77" customWidth="1"/>
    <col min="15" max="17" width="9.140625" style="13"/>
    <col min="18" max="18" width="24.42578125" style="13" customWidth="1"/>
    <col min="19" max="16384" width="9.140625" style="13"/>
  </cols>
  <sheetData>
    <row r="1" spans="1:22" x14ac:dyDescent="0.25">
      <c r="A1" s="76"/>
      <c r="B1" s="76"/>
      <c r="C1" s="76"/>
      <c r="D1" s="76"/>
      <c r="E1" s="346" t="s">
        <v>14</v>
      </c>
      <c r="F1" s="346"/>
    </row>
    <row r="2" spans="1:22" x14ac:dyDescent="0.25">
      <c r="A2" s="76"/>
      <c r="B2" s="76"/>
      <c r="C2" s="76"/>
      <c r="D2" s="76"/>
      <c r="E2" s="76"/>
      <c r="F2" s="78" t="str">
        <f>"к договору микрозайма "&amp;'Общие данные'!B74&amp;""</f>
        <v>к договору микрозайма 7 aprel 2026 y.dan № 323-BR</v>
      </c>
    </row>
    <row r="3" spans="1:22" ht="19.5" customHeight="1" x14ac:dyDescent="0.25">
      <c r="A3" s="76"/>
      <c r="B3" s="76"/>
      <c r="C3" s="76"/>
      <c r="D3" s="76"/>
      <c r="E3" s="76"/>
      <c r="F3" s="76"/>
      <c r="H3" s="79"/>
      <c r="I3" s="79"/>
      <c r="J3" s="80"/>
      <c r="K3" s="80"/>
    </row>
    <row r="4" spans="1:22" ht="19.5" customHeight="1" x14ac:dyDescent="0.25">
      <c r="A4" s="347" t="s">
        <v>15</v>
      </c>
      <c r="B4" s="347"/>
      <c r="C4" s="347"/>
      <c r="D4" s="347"/>
      <c r="E4" s="347"/>
      <c r="F4" s="347"/>
      <c r="H4" s="79"/>
      <c r="I4" s="79"/>
      <c r="J4" s="79"/>
      <c r="K4" s="79"/>
    </row>
    <row r="5" spans="1:22" ht="19.5" customHeight="1" x14ac:dyDescent="0.25">
      <c r="L5" s="77">
        <f>'Общие данные'!B82</f>
        <v>36</v>
      </c>
    </row>
    <row r="6" spans="1:22" x14ac:dyDescent="0.25">
      <c r="A6" s="348" t="s">
        <v>13</v>
      </c>
      <c r="B6" s="349" t="s">
        <v>7</v>
      </c>
      <c r="C6" s="349" t="s">
        <v>8</v>
      </c>
      <c r="D6" s="350" t="s">
        <v>9</v>
      </c>
      <c r="E6" s="350"/>
      <c r="F6" s="350"/>
    </row>
    <row r="7" spans="1:22" s="14" customFormat="1" x14ac:dyDescent="0.25">
      <c r="A7" s="348"/>
      <c r="B7" s="349"/>
      <c r="C7" s="349"/>
      <c r="D7" s="81" t="s">
        <v>10</v>
      </c>
      <c r="E7" s="81" t="s">
        <v>11</v>
      </c>
      <c r="F7" s="81" t="s">
        <v>12</v>
      </c>
      <c r="G7" s="82"/>
      <c r="H7" s="82"/>
      <c r="I7" s="82"/>
      <c r="J7" s="82"/>
      <c r="K7" s="82"/>
      <c r="L7" s="82"/>
      <c r="M7" s="82"/>
      <c r="N7" s="82"/>
    </row>
    <row r="8" spans="1:22" x14ac:dyDescent="0.25">
      <c r="A8" s="83">
        <v>1</v>
      </c>
      <c r="B8" s="84">
        <f>'Общие данные'!B80</f>
        <v>46147</v>
      </c>
      <c r="C8" s="48">
        <f>'Общие данные'!B76</f>
        <v>52000000</v>
      </c>
      <c r="D8" s="48">
        <f>IF(IF(C8=0,L8,IF(C8&gt;1,I8))="",0,(IF(C8=0,L8,IF(C8&gt;1,I8))))</f>
        <v>1444444.44</v>
      </c>
      <c r="E8" s="48">
        <f>IF(C8=0,N6,IF(C8&gt;1,L8))</f>
        <v>2193972.48</v>
      </c>
      <c r="F8" s="48">
        <f>IF(C8=0,O6,IF(C8&gt;1,M8))</f>
        <v>3638416.92</v>
      </c>
      <c r="G8" s="97">
        <f>B8-'Общие данные'!B67</f>
        <v>28</v>
      </c>
      <c r="H8" s="77">
        <f>DATE(YEAR(B8),12,31)-DATE(YEAR(B8),1,1)+1</f>
        <v>365</v>
      </c>
      <c r="I8" s="85">
        <f>IF('Общие данные'!B84=0,ROUND(C8/L5,2),"")</f>
        <v>1444444.44</v>
      </c>
      <c r="J8" s="85"/>
      <c r="K8" s="85"/>
      <c r="L8" s="79">
        <f>ROUND(C8*'Общие данные'!$B$85/H8,2)*G8</f>
        <v>2193972.48</v>
      </c>
      <c r="M8" s="79">
        <f t="shared" ref="M8:M31" si="0">D8+E8</f>
        <v>3638416.92</v>
      </c>
      <c r="N8" s="79"/>
      <c r="O8" s="94" t="str">
        <f>TEXT(B8,"ддд")</f>
        <v>Вт</v>
      </c>
      <c r="P8" s="96">
        <f>IF(O8=$U$8,2,IF(O8=$V$8,1,0))</f>
        <v>0</v>
      </c>
      <c r="Q8" s="96">
        <f>DAY('Общие данные'!$B$79)+P8</f>
        <v>5</v>
      </c>
      <c r="R8" s="91"/>
      <c r="S8" s="92" t="s">
        <v>27</v>
      </c>
      <c r="T8" s="92" t="s">
        <v>28</v>
      </c>
      <c r="U8" s="92" t="s">
        <v>29</v>
      </c>
      <c r="V8" s="93" t="s">
        <v>30</v>
      </c>
    </row>
    <row r="9" spans="1:22" x14ac:dyDescent="0.25">
      <c r="A9" s="83">
        <v>2</v>
      </c>
      <c r="B9" s="84">
        <f>IF(A9&lt;='Общие данные'!$B$82,DATE(YEAR(R9),MONTH(R9),DAY(IF(A9='Общие данные'!$B$82,'Общие данные'!$B$67,IF(A9&lt;'Общие данные'!$B$82,(Q9),IF(A9&gt;'Общие данные'!$B$82,$H$56,0))))))</f>
        <v>46178</v>
      </c>
      <c r="C9" s="48">
        <f t="shared" ref="C9:C30" si="1">C8-D8</f>
        <v>50555555.560000002</v>
      </c>
      <c r="D9" s="48">
        <f t="shared" ref="D9:D30" si="2">IF(C9=0,L9,IF(C9&gt;1,I9))</f>
        <v>1444444.44</v>
      </c>
      <c r="E9" s="48">
        <f t="shared" ref="E9:E30" si="3">IF(C9=0,N8,IF(C9&gt;1,L9))</f>
        <v>2361567.6</v>
      </c>
      <c r="F9" s="48">
        <f t="shared" ref="F9:F30" si="4">IF(C9=0,N8,IF(C9&gt;1,M9))</f>
        <v>3806012.04</v>
      </c>
      <c r="G9" s="77">
        <f>B9-B8</f>
        <v>31</v>
      </c>
      <c r="H9" s="77">
        <f t="shared" ref="H9:H31" si="5">DATE(YEAR(B9),12,31)-DATE(YEAR(B9),1,1)+1</f>
        <v>365</v>
      </c>
      <c r="I9" s="85">
        <f>IF(I8="",ROUND(C8/(L5-1),2),I8)</f>
        <v>1444444.44</v>
      </c>
      <c r="J9" s="85"/>
      <c r="K9" s="85"/>
      <c r="L9" s="79">
        <f>ROUND(C9*'Общие данные'!$B$85/H9,2)*G9</f>
        <v>2361567.6</v>
      </c>
      <c r="M9" s="79">
        <f t="shared" si="0"/>
        <v>3806012.04</v>
      </c>
      <c r="N9" s="79"/>
      <c r="O9" s="94" t="str">
        <f>TEXT(R9,"ддд")</f>
        <v>Пт</v>
      </c>
      <c r="P9" s="96">
        <f t="shared" ref="P9:P31" si="6">IF(O9=$U$8,2,IF(O9=$V$8,1,0))</f>
        <v>0</v>
      </c>
      <c r="Q9" s="96">
        <f>DAY('Общие данные'!$B$79)+P9</f>
        <v>5</v>
      </c>
      <c r="R9" s="91">
        <f>IF(A9&lt;='Общие данные'!$B$82,DATE(YEAR($B$8),MONTH($B$8)+A8,DAY('Общие данные'!$B$79)),0)</f>
        <v>46178</v>
      </c>
      <c r="S9" s="77"/>
      <c r="T9" s="77"/>
      <c r="U9" s="77"/>
      <c r="V9" s="77"/>
    </row>
    <row r="10" spans="1:22" x14ac:dyDescent="0.25">
      <c r="A10" s="83">
        <v>3</v>
      </c>
      <c r="B10" s="84">
        <f>IF(A10&lt;='Общие данные'!$B$82,DATE(YEAR(R10),MONTH(R10),DAY(IF(A10='Общие данные'!$B$82,'Общие данные'!$B$67,IF(A10&lt;'Общие данные'!$B$82,(Q10),IF(A10&gt;'Общие данные'!$B$82,$H$56,0))))))</f>
        <v>46209</v>
      </c>
      <c r="C10" s="48">
        <f t="shared" si="1"/>
        <v>49111111.120000005</v>
      </c>
      <c r="D10" s="48">
        <f t="shared" si="2"/>
        <v>1444444.44</v>
      </c>
      <c r="E10" s="48">
        <f t="shared" si="3"/>
        <v>2294094.2399999998</v>
      </c>
      <c r="F10" s="48">
        <f t="shared" si="4"/>
        <v>3738538.6799999997</v>
      </c>
      <c r="G10" s="77">
        <f t="shared" ref="G10:G31" si="7">B10-B9</f>
        <v>31</v>
      </c>
      <c r="H10" s="77">
        <f t="shared" si="5"/>
        <v>365</v>
      </c>
      <c r="I10" s="85">
        <f>I9</f>
        <v>1444444.44</v>
      </c>
      <c r="J10" s="85"/>
      <c r="K10" s="85"/>
      <c r="L10" s="79">
        <f>ROUND(C10*'Общие данные'!$B$85/H10,2)*G10</f>
        <v>2294094.2399999998</v>
      </c>
      <c r="M10" s="79">
        <f t="shared" si="0"/>
        <v>3738538.6799999997</v>
      </c>
      <c r="N10" s="79"/>
      <c r="O10" s="94" t="str">
        <f t="shared" ref="O10:O31" si="8">TEXT(R10,"ддд")</f>
        <v>Вс</v>
      </c>
      <c r="P10" s="96">
        <f t="shared" si="6"/>
        <v>1</v>
      </c>
      <c r="Q10" s="96">
        <f>DAY('Общие данные'!$B$79)+P10</f>
        <v>6</v>
      </c>
      <c r="R10" s="91">
        <f>IF(A10&lt;='Общие данные'!$B$82,DATE(YEAR($B$8),MONTH($B$8)+A9,DAY('Общие данные'!$B$79)),0)</f>
        <v>46208</v>
      </c>
      <c r="S10" s="77"/>
      <c r="T10" s="77"/>
      <c r="U10" s="77"/>
      <c r="V10" s="77"/>
    </row>
    <row r="11" spans="1:22" x14ac:dyDescent="0.25">
      <c r="A11" s="83">
        <v>4</v>
      </c>
      <c r="B11" s="84">
        <f>IF(A11&lt;='Общие данные'!$B$82,DATE(YEAR(R11),MONTH(R11),DAY(IF(A11='Общие данные'!$B$82,'Общие данные'!$B$67,IF(A11&lt;'Общие данные'!$B$82,(Q11),IF(A11&gt;'Общие данные'!$B$82,$H$56,0))))))</f>
        <v>46239</v>
      </c>
      <c r="C11" s="48">
        <f t="shared" si="1"/>
        <v>47666666.680000007</v>
      </c>
      <c r="D11" s="48">
        <f t="shared" si="2"/>
        <v>1444444.44</v>
      </c>
      <c r="E11" s="48">
        <f t="shared" si="3"/>
        <v>2154794.4</v>
      </c>
      <c r="F11" s="48">
        <f t="shared" si="4"/>
        <v>3599238.84</v>
      </c>
      <c r="G11" s="77">
        <f t="shared" si="7"/>
        <v>30</v>
      </c>
      <c r="H11" s="77">
        <f t="shared" si="5"/>
        <v>365</v>
      </c>
      <c r="I11" s="85">
        <f>I10</f>
        <v>1444444.44</v>
      </c>
      <c r="J11" s="85"/>
      <c r="K11" s="85"/>
      <c r="L11" s="79">
        <f>ROUND(C11*'Общие данные'!$B$85/H11,2)*G11</f>
        <v>2154794.4</v>
      </c>
      <c r="M11" s="79">
        <f t="shared" si="0"/>
        <v>3599238.84</v>
      </c>
      <c r="N11" s="79"/>
      <c r="O11" s="94" t="str">
        <f t="shared" si="8"/>
        <v>Ср</v>
      </c>
      <c r="P11" s="96">
        <f t="shared" si="6"/>
        <v>0</v>
      </c>
      <c r="Q11" s="96">
        <f>DAY('Общие данные'!$B$79)+P11</f>
        <v>5</v>
      </c>
      <c r="R11" s="91">
        <f>IF(A11&lt;='Общие данные'!$B$82,DATE(YEAR($B$8),MONTH($B$8)+A10,DAY('Общие данные'!$B$79)),0)</f>
        <v>46239</v>
      </c>
      <c r="S11" s="77"/>
      <c r="T11" s="77"/>
      <c r="U11" s="77"/>
      <c r="V11" s="77"/>
    </row>
    <row r="12" spans="1:22" x14ac:dyDescent="0.25">
      <c r="A12" s="83">
        <v>5</v>
      </c>
      <c r="B12" s="84">
        <f>IF(A12&lt;='Общие данные'!$B$82,DATE(YEAR(R12),MONTH(R12),DAY(IF(A12='Общие данные'!$B$82,'Общие данные'!$B$67,IF(A12&lt;'Общие данные'!$B$82,(Q12),IF(A12&gt;'Общие данные'!$B$82,$H$56,0))))))</f>
        <v>46272</v>
      </c>
      <c r="C12" s="48">
        <f t="shared" si="1"/>
        <v>46222222.24000001</v>
      </c>
      <c r="D12" s="48">
        <f t="shared" si="2"/>
        <v>1444444.44</v>
      </c>
      <c r="E12" s="48">
        <f t="shared" si="3"/>
        <v>2298447.36</v>
      </c>
      <c r="F12" s="48">
        <f t="shared" si="4"/>
        <v>3742891.8</v>
      </c>
      <c r="G12" s="77">
        <f t="shared" si="7"/>
        <v>33</v>
      </c>
      <c r="H12" s="77">
        <f t="shared" si="5"/>
        <v>365</v>
      </c>
      <c r="I12" s="85">
        <f>I11</f>
        <v>1444444.44</v>
      </c>
      <c r="J12" s="85">
        <f>'Общие данные'!B76</f>
        <v>52000000</v>
      </c>
      <c r="K12" s="85"/>
      <c r="L12" s="79">
        <f>ROUND(C12*'Общие данные'!$B$85/H12,2)*G12</f>
        <v>2298447.36</v>
      </c>
      <c r="M12" s="79">
        <f t="shared" si="0"/>
        <v>3742891.8</v>
      </c>
      <c r="N12" s="79"/>
      <c r="O12" s="94" t="str">
        <f t="shared" si="8"/>
        <v>Сб</v>
      </c>
      <c r="P12" s="96">
        <f t="shared" si="6"/>
        <v>2</v>
      </c>
      <c r="Q12" s="96">
        <f>DAY('Общие данные'!$B$79)+P12</f>
        <v>7</v>
      </c>
      <c r="R12" s="91">
        <f>IF(A12&lt;='Общие данные'!$B$82,DATE(YEAR($B$8),MONTH($B$8)+A11,DAY('Общие данные'!$B$79)),0)</f>
        <v>46270</v>
      </c>
      <c r="S12" s="77"/>
      <c r="T12" s="77"/>
      <c r="U12" s="77"/>
      <c r="V12" s="77"/>
    </row>
    <row r="13" spans="1:22" x14ac:dyDescent="0.25">
      <c r="A13" s="83">
        <v>6</v>
      </c>
      <c r="B13" s="84">
        <f>IF(A13&lt;='Общие данные'!$B$82,DATE(YEAR(R13),MONTH(R13),DAY(IF(A13='Общие данные'!$B$82,'Общие данные'!$B$67,IF(A13&lt;'Общие данные'!$B$82,(Q13),IF(A13&gt;'Общие данные'!$B$82,$H$56,0))))))</f>
        <v>46300</v>
      </c>
      <c r="C13" s="48">
        <f t="shared" si="1"/>
        <v>44777777.800000012</v>
      </c>
      <c r="D13" s="48">
        <f t="shared" si="2"/>
        <v>1444444.44</v>
      </c>
      <c r="E13" s="48">
        <f t="shared" si="3"/>
        <v>1889254.08</v>
      </c>
      <c r="F13" s="48">
        <f t="shared" si="4"/>
        <v>3333698.52</v>
      </c>
      <c r="G13" s="77">
        <f t="shared" si="7"/>
        <v>28</v>
      </c>
      <c r="H13" s="77">
        <f t="shared" si="5"/>
        <v>365</v>
      </c>
      <c r="I13" s="85">
        <f>IF(L5=H1,K13,IF(L5&gt;H1,I12))</f>
        <v>1444444.44</v>
      </c>
      <c r="J13" s="85">
        <f>SUM($I$8:I12)</f>
        <v>7222222.1999999993</v>
      </c>
      <c r="K13" s="85">
        <f>$J$12-J13</f>
        <v>44777777.799999997</v>
      </c>
      <c r="L13" s="79">
        <f>ROUND(C13*'Общие данные'!$B$85/H13,2)*G13</f>
        <v>1889254.08</v>
      </c>
      <c r="M13" s="79">
        <f t="shared" si="0"/>
        <v>3333698.52</v>
      </c>
      <c r="N13" s="79"/>
      <c r="O13" s="94" t="str">
        <f t="shared" si="8"/>
        <v>Пн</v>
      </c>
      <c r="P13" s="96">
        <f t="shared" si="6"/>
        <v>0</v>
      </c>
      <c r="Q13" s="96">
        <f>DAY('Общие данные'!$B$79)+P13</f>
        <v>5</v>
      </c>
      <c r="R13" s="91">
        <f>IF(A13&lt;='Общие данные'!$B$82,DATE(YEAR($B$8),MONTH($B$8)+A12,DAY('Общие данные'!$B$79)),0)</f>
        <v>46300</v>
      </c>
      <c r="S13" s="77"/>
      <c r="T13" s="77"/>
      <c r="U13" s="77"/>
      <c r="V13" s="77"/>
    </row>
    <row r="14" spans="1:22" x14ac:dyDescent="0.25">
      <c r="A14" s="83">
        <v>7</v>
      </c>
      <c r="B14" s="84">
        <f>IF(A14&lt;='Общие данные'!$B$82,DATE(YEAR(R14),MONTH(R14),DAY(IF(A14='Общие данные'!$B$82,'Общие данные'!$B$67,IF(A14&lt;'Общие данные'!$B$82,(Q14),IF(A14&gt;'Общие данные'!$B$82,$H$56,0))))))</f>
        <v>46331</v>
      </c>
      <c r="C14" s="48">
        <f t="shared" si="1"/>
        <v>43333333.360000014</v>
      </c>
      <c r="D14" s="48">
        <f t="shared" si="2"/>
        <v>1444444.44</v>
      </c>
      <c r="E14" s="48">
        <f t="shared" si="3"/>
        <v>2024200.8</v>
      </c>
      <c r="F14" s="48">
        <f t="shared" si="4"/>
        <v>3468645.24</v>
      </c>
      <c r="G14" s="77">
        <f t="shared" si="7"/>
        <v>31</v>
      </c>
      <c r="H14" s="77">
        <f t="shared" si="5"/>
        <v>365</v>
      </c>
      <c r="I14" s="85">
        <f>IF($L$5=A14,K14,IF($L$5&gt;A14,I13))</f>
        <v>1444444.44</v>
      </c>
      <c r="J14" s="85">
        <f>SUM($I$8:I13)</f>
        <v>8666666.6399999987</v>
      </c>
      <c r="K14" s="85">
        <f t="shared" ref="K14:K31" si="9">$J$12-J14</f>
        <v>43333333.359999999</v>
      </c>
      <c r="L14" s="79">
        <f>ROUND(C14*'Общие данные'!$B$85/H14,2)*G14</f>
        <v>2024200.8</v>
      </c>
      <c r="M14" s="79">
        <f t="shared" si="0"/>
        <v>3468645.24</v>
      </c>
      <c r="N14" s="79"/>
      <c r="O14" s="94" t="str">
        <f t="shared" si="8"/>
        <v>Чт</v>
      </c>
      <c r="P14" s="96">
        <f t="shared" si="6"/>
        <v>0</v>
      </c>
      <c r="Q14" s="96">
        <f>DAY('Общие данные'!$B$79)+P14</f>
        <v>5</v>
      </c>
      <c r="R14" s="91">
        <f>IF(A14&lt;='Общие данные'!$B$82,DATE(YEAR($B$8),MONTH($B$8)+A13,DAY('Общие данные'!$B$79)),0)</f>
        <v>46331</v>
      </c>
      <c r="S14" s="77"/>
      <c r="T14" s="77"/>
      <c r="U14" s="77"/>
      <c r="V14" s="77"/>
    </row>
    <row r="15" spans="1:22" x14ac:dyDescent="0.25">
      <c r="A15" s="83">
        <v>8</v>
      </c>
      <c r="B15" s="84">
        <f>IF(A15&lt;='Общие данные'!$B$82,DATE(YEAR(R15),MONTH(R15),DAY(IF(A15='Общие данные'!$B$82,'Общие данные'!$B$67,IF(A15&lt;'Общие данные'!$B$82,(Q15),IF(A15&gt;'Общие данные'!$B$82,$H$56,0))))))</f>
        <v>46363</v>
      </c>
      <c r="C15" s="48">
        <f t="shared" si="1"/>
        <v>41888888.920000017</v>
      </c>
      <c r="D15" s="48">
        <f t="shared" si="2"/>
        <v>1444444.44</v>
      </c>
      <c r="E15" s="48">
        <f t="shared" si="3"/>
        <v>2019847.68</v>
      </c>
      <c r="F15" s="48">
        <f t="shared" si="4"/>
        <v>3464292.12</v>
      </c>
      <c r="G15" s="77">
        <f t="shared" si="7"/>
        <v>32</v>
      </c>
      <c r="H15" s="77">
        <f t="shared" si="5"/>
        <v>365</v>
      </c>
      <c r="I15" s="85">
        <f t="shared" ref="I15:I31" si="10">IF($L$5=A15,K15,IF($L$5&gt;A15,I14))</f>
        <v>1444444.44</v>
      </c>
      <c r="J15" s="85">
        <f>SUM($I$8:I14)</f>
        <v>10111111.079999998</v>
      </c>
      <c r="K15" s="85">
        <f t="shared" si="9"/>
        <v>41888888.920000002</v>
      </c>
      <c r="L15" s="79">
        <f>ROUND(C15*'Общие данные'!$B$85/H15,2)*G15</f>
        <v>2019847.68</v>
      </c>
      <c r="M15" s="79">
        <f t="shared" si="0"/>
        <v>3464292.12</v>
      </c>
      <c r="N15" s="79"/>
      <c r="O15" s="94" t="str">
        <f t="shared" si="8"/>
        <v>Сб</v>
      </c>
      <c r="P15" s="96">
        <f t="shared" si="6"/>
        <v>2</v>
      </c>
      <c r="Q15" s="96">
        <f>DAY('Общие данные'!$B$79)+P15</f>
        <v>7</v>
      </c>
      <c r="R15" s="91">
        <f>IF(A15&lt;='Общие данные'!$B$82,DATE(YEAR($B$8),MONTH($B$8)+A14,DAY('Общие данные'!$B$79)),0)</f>
        <v>46361</v>
      </c>
      <c r="S15" s="77"/>
      <c r="T15" s="77"/>
      <c r="U15" s="77"/>
      <c r="V15" s="77"/>
    </row>
    <row r="16" spans="1:22" x14ac:dyDescent="0.25">
      <c r="A16" s="83">
        <v>9</v>
      </c>
      <c r="B16" s="84">
        <f>IF(A16&lt;='Общие данные'!$B$82,DATE(YEAR(R16),MONTH(R16),DAY(IF(A16='Общие данные'!$B$82,'Общие данные'!$B$67,IF(A16&lt;'Общие данные'!$B$82,(Q16),IF(A16&gt;'Общие данные'!$B$82,$H$56,0))))))</f>
        <v>46392</v>
      </c>
      <c r="C16" s="48">
        <f t="shared" si="1"/>
        <v>40444444.480000019</v>
      </c>
      <c r="D16" s="48">
        <f t="shared" si="2"/>
        <v>1444444.44</v>
      </c>
      <c r="E16" s="48">
        <f t="shared" si="3"/>
        <v>1767366.72</v>
      </c>
      <c r="F16" s="48">
        <f t="shared" si="4"/>
        <v>3211811.16</v>
      </c>
      <c r="G16" s="77">
        <f t="shared" si="7"/>
        <v>29</v>
      </c>
      <c r="H16" s="77">
        <f t="shared" si="5"/>
        <v>365</v>
      </c>
      <c r="I16" s="85">
        <f t="shared" si="10"/>
        <v>1444444.44</v>
      </c>
      <c r="J16" s="85">
        <f>SUM($I$8:I15)</f>
        <v>11555555.519999998</v>
      </c>
      <c r="K16" s="85">
        <f t="shared" si="9"/>
        <v>40444444.480000004</v>
      </c>
      <c r="L16" s="79">
        <f>ROUND(C16*'Общие данные'!$B$85/H16,2)*G16</f>
        <v>1767366.72</v>
      </c>
      <c r="M16" s="79">
        <f t="shared" si="0"/>
        <v>3211811.16</v>
      </c>
      <c r="N16" s="79"/>
      <c r="O16" s="94" t="str">
        <f t="shared" si="8"/>
        <v>Вт</v>
      </c>
      <c r="P16" s="96">
        <f t="shared" si="6"/>
        <v>0</v>
      </c>
      <c r="Q16" s="96">
        <f>DAY('Общие данные'!$B$79)+P16</f>
        <v>5</v>
      </c>
      <c r="R16" s="91">
        <f>IF(A16&lt;='Общие данные'!$B$82,DATE(YEAR($B$8),MONTH($B$8)+A15,DAY('Общие данные'!$B$79)),0)</f>
        <v>46392</v>
      </c>
      <c r="S16" s="77"/>
      <c r="T16" s="77"/>
      <c r="U16" s="77"/>
      <c r="V16" s="77"/>
    </row>
    <row r="17" spans="1:22" x14ac:dyDescent="0.25">
      <c r="A17" s="83">
        <v>10</v>
      </c>
      <c r="B17" s="84">
        <f>IF(A17&lt;='Общие данные'!$B$82,DATE(YEAR(R17),MONTH(R17),DAY(IF(A17='Общие данные'!$B$82,'Общие данные'!$B$67,IF(A17&lt;'Общие данные'!$B$82,(Q17),IF(A17&gt;'Общие данные'!$B$82,$H$56,0))))))</f>
        <v>46423</v>
      </c>
      <c r="C17" s="48">
        <f t="shared" si="1"/>
        <v>39000000.040000021</v>
      </c>
      <c r="D17" s="48">
        <f t="shared" si="2"/>
        <v>1444444.44</v>
      </c>
      <c r="E17" s="48">
        <f t="shared" si="3"/>
        <v>1821780.72</v>
      </c>
      <c r="F17" s="48">
        <f t="shared" si="4"/>
        <v>3266225.16</v>
      </c>
      <c r="G17" s="77">
        <f t="shared" si="7"/>
        <v>31</v>
      </c>
      <c r="H17" s="77">
        <f t="shared" si="5"/>
        <v>365</v>
      </c>
      <c r="I17" s="85">
        <f t="shared" si="10"/>
        <v>1444444.44</v>
      </c>
      <c r="J17" s="85">
        <f>SUM($I$8:I16)</f>
        <v>12999999.959999997</v>
      </c>
      <c r="K17" s="85">
        <f>$J$12-J17</f>
        <v>39000000.040000007</v>
      </c>
      <c r="L17" s="79">
        <f>ROUND(C17*'Общие данные'!$B$85/H17,2)*G17</f>
        <v>1821780.72</v>
      </c>
      <c r="M17" s="79">
        <f t="shared" si="0"/>
        <v>3266225.16</v>
      </c>
      <c r="N17" s="79"/>
      <c r="O17" s="94" t="str">
        <f t="shared" si="8"/>
        <v>Пт</v>
      </c>
      <c r="P17" s="96">
        <f t="shared" si="6"/>
        <v>0</v>
      </c>
      <c r="Q17" s="96">
        <f>DAY('Общие данные'!$B$79)+P17</f>
        <v>5</v>
      </c>
      <c r="R17" s="91">
        <f>IF(A17&lt;='Общие данные'!$B$82,DATE(YEAR($B$8),MONTH($B$8)+A16,DAY('Общие данные'!$B$79)),0)</f>
        <v>46423</v>
      </c>
      <c r="S17" s="77"/>
      <c r="T17" s="77"/>
      <c r="U17" s="77"/>
      <c r="V17" s="77"/>
    </row>
    <row r="18" spans="1:22" x14ac:dyDescent="0.25">
      <c r="A18" s="83">
        <v>11</v>
      </c>
      <c r="B18" s="84">
        <f>IF(A18&lt;='Общие данные'!$B$82,DATE(YEAR(R18),MONTH(R18),DAY(IF(A18='Общие данные'!$B$82,'Общие данные'!$B$67,IF(A18&lt;'Общие данные'!$B$82,(Q18),IF(A18&gt;'Общие данные'!$B$82,$H$56,0))))))</f>
        <v>46451</v>
      </c>
      <c r="C18" s="48">
        <f t="shared" si="1"/>
        <v>37555555.600000024</v>
      </c>
      <c r="D18" s="48">
        <f t="shared" si="2"/>
        <v>1444444.44</v>
      </c>
      <c r="E18" s="48">
        <f t="shared" si="3"/>
        <v>1584535.68</v>
      </c>
      <c r="F18" s="48">
        <f t="shared" si="4"/>
        <v>3028980.12</v>
      </c>
      <c r="G18" s="77">
        <f t="shared" si="7"/>
        <v>28</v>
      </c>
      <c r="H18" s="77">
        <f t="shared" si="5"/>
        <v>365</v>
      </c>
      <c r="I18" s="85">
        <f t="shared" si="10"/>
        <v>1444444.44</v>
      </c>
      <c r="J18" s="85">
        <f>SUM($I$8:I17)</f>
        <v>14444444.399999997</v>
      </c>
      <c r="K18" s="85">
        <f t="shared" si="9"/>
        <v>37555555.600000001</v>
      </c>
      <c r="L18" s="79">
        <f>ROUND(C18*'Общие данные'!$B$85/H18,2)*G18</f>
        <v>1584535.68</v>
      </c>
      <c r="M18" s="79">
        <f t="shared" si="0"/>
        <v>3028980.12</v>
      </c>
      <c r="N18" s="79"/>
      <c r="O18" s="94" t="str">
        <f t="shared" si="8"/>
        <v>Пт</v>
      </c>
      <c r="P18" s="96">
        <f t="shared" si="6"/>
        <v>0</v>
      </c>
      <c r="Q18" s="96">
        <f>DAY('Общие данные'!$B$79)+P18</f>
        <v>5</v>
      </c>
      <c r="R18" s="91">
        <f>IF(A18&lt;='Общие данные'!$B$82,DATE(YEAR($B$8),MONTH($B$8)+A17,DAY('Общие данные'!$B$79)),0)</f>
        <v>46451</v>
      </c>
      <c r="S18" s="77"/>
      <c r="T18" s="77"/>
      <c r="U18" s="77"/>
      <c r="V18" s="77"/>
    </row>
    <row r="19" spans="1:22" x14ac:dyDescent="0.25">
      <c r="A19" s="83">
        <v>12</v>
      </c>
      <c r="B19" s="84">
        <f>IF(A19&lt;='Общие данные'!$B$82,DATE(YEAR(R19),MONTH(R19),DAY(IF(A19='Общие данные'!$B$82,'Общие данные'!$B$67,IF(A19&lt;'Общие данные'!$B$82,(Q19),IF(A19&gt;'Общие данные'!$B$82,$H$56,0))))))</f>
        <v>46482</v>
      </c>
      <c r="C19" s="48">
        <f t="shared" si="1"/>
        <v>36111111.160000026</v>
      </c>
      <c r="D19" s="48">
        <f t="shared" si="2"/>
        <v>1444444.44</v>
      </c>
      <c r="E19" s="48">
        <f t="shared" si="3"/>
        <v>1686834</v>
      </c>
      <c r="F19" s="48">
        <f t="shared" si="4"/>
        <v>3131278.44</v>
      </c>
      <c r="G19" s="77">
        <f t="shared" si="7"/>
        <v>31</v>
      </c>
      <c r="H19" s="77">
        <f t="shared" si="5"/>
        <v>365</v>
      </c>
      <c r="I19" s="85">
        <f t="shared" si="10"/>
        <v>1444444.44</v>
      </c>
      <c r="J19" s="85">
        <f>SUM($I$8:I18)</f>
        <v>15888888.839999996</v>
      </c>
      <c r="K19" s="85">
        <f t="shared" si="9"/>
        <v>36111111.160000004</v>
      </c>
      <c r="L19" s="79">
        <f>ROUND(C19*'Общие данные'!$B$85/H19,2)*G19</f>
        <v>1686834</v>
      </c>
      <c r="M19" s="79">
        <f t="shared" si="0"/>
        <v>3131278.44</v>
      </c>
      <c r="N19" s="79"/>
      <c r="O19" s="94" t="str">
        <f t="shared" si="8"/>
        <v>Пн</v>
      </c>
      <c r="P19" s="96">
        <f t="shared" si="6"/>
        <v>0</v>
      </c>
      <c r="Q19" s="96">
        <f>DAY('Общие данные'!$B$79)+P19</f>
        <v>5</v>
      </c>
      <c r="R19" s="91">
        <f>IF(A19&lt;='Общие данные'!$B$82,DATE(YEAR($B$8),MONTH($B$8)+A18,DAY('Общие данные'!$B$79)),0)</f>
        <v>46482</v>
      </c>
      <c r="S19" s="77"/>
      <c r="T19" s="77"/>
      <c r="U19" s="77"/>
      <c r="V19" s="77"/>
    </row>
    <row r="20" spans="1:22" x14ac:dyDescent="0.25">
      <c r="A20" s="83">
        <v>13</v>
      </c>
      <c r="B20" s="84">
        <f>IF(A20&lt;='Общие данные'!$B$82,DATE(YEAR(R20),MONTH(R20),DAY(IF(A20='Общие данные'!$B$82,'Общие данные'!$B$67,IF(A20&lt;'Общие данные'!$B$82,(Q20),IF(A20&gt;'Общие данные'!$B$82,$H$56,0))))))</f>
        <v>46512</v>
      </c>
      <c r="C20" s="48">
        <f t="shared" si="1"/>
        <v>34666666.720000029</v>
      </c>
      <c r="D20" s="48">
        <f t="shared" si="2"/>
        <v>1444444.44</v>
      </c>
      <c r="E20" s="48">
        <f t="shared" si="3"/>
        <v>1567123.2000000002</v>
      </c>
      <c r="F20" s="48">
        <f t="shared" si="4"/>
        <v>3011567.64</v>
      </c>
      <c r="G20" s="77">
        <f t="shared" si="7"/>
        <v>30</v>
      </c>
      <c r="H20" s="77">
        <f t="shared" si="5"/>
        <v>365</v>
      </c>
      <c r="I20" s="85">
        <f t="shared" si="10"/>
        <v>1444444.44</v>
      </c>
      <c r="J20" s="85">
        <f>SUM($I$8:I19)</f>
        <v>17333333.279999997</v>
      </c>
      <c r="K20" s="85">
        <f>$J$12-J20</f>
        <v>34666666.719999999</v>
      </c>
      <c r="L20" s="79">
        <f>ROUND(C20*'Общие данные'!$B$85/H20,2)*G20</f>
        <v>1567123.2000000002</v>
      </c>
      <c r="M20" s="79">
        <f t="shared" si="0"/>
        <v>3011567.64</v>
      </c>
      <c r="N20" s="79"/>
      <c r="O20" s="94" t="str">
        <f t="shared" si="8"/>
        <v>Ср</v>
      </c>
      <c r="P20" s="96">
        <f t="shared" si="6"/>
        <v>0</v>
      </c>
      <c r="Q20" s="96">
        <f>DAY('Общие данные'!$B$79)+P20</f>
        <v>5</v>
      </c>
      <c r="R20" s="91">
        <f>IF(A20&lt;='Общие данные'!$B$82,DATE(YEAR($B$8),MONTH($B$8)+A19,DAY('Общие данные'!$B$79)),0)</f>
        <v>46512</v>
      </c>
      <c r="S20" s="77"/>
      <c r="T20" s="77"/>
      <c r="U20" s="77"/>
      <c r="V20" s="77"/>
    </row>
    <row r="21" spans="1:22" x14ac:dyDescent="0.25">
      <c r="A21" s="83">
        <v>14</v>
      </c>
      <c r="B21" s="84">
        <f>IF(A21&lt;='Общие данные'!$B$82,DATE(YEAR(R21),MONTH(R21),DAY(IF(A21='Общие данные'!$B$82,'Общие данные'!$B$67,IF(A21&lt;'Общие данные'!$B$82,(Q21),IF(A21&gt;'Общие данные'!$B$82,$H$56,0))))))</f>
        <v>46545</v>
      </c>
      <c r="C21" s="48">
        <f t="shared" si="1"/>
        <v>33222222.280000027</v>
      </c>
      <c r="D21" s="48">
        <f t="shared" si="2"/>
        <v>1444444.44</v>
      </c>
      <c r="E21" s="48">
        <f t="shared" si="3"/>
        <v>1652009.0399999998</v>
      </c>
      <c r="F21" s="48">
        <f t="shared" si="4"/>
        <v>3096453.4799999995</v>
      </c>
      <c r="G21" s="77">
        <f t="shared" si="7"/>
        <v>33</v>
      </c>
      <c r="H21" s="77">
        <f t="shared" si="5"/>
        <v>365</v>
      </c>
      <c r="I21" s="85">
        <f t="shared" si="10"/>
        <v>1444444.44</v>
      </c>
      <c r="J21" s="85">
        <f>SUM($I$8:I20)</f>
        <v>18777777.719999999</v>
      </c>
      <c r="K21" s="85">
        <f t="shared" si="9"/>
        <v>33222222.280000001</v>
      </c>
      <c r="L21" s="79">
        <f>ROUND(C21*'Общие данные'!$B$85/H21,2)*G21</f>
        <v>1652009.0399999998</v>
      </c>
      <c r="M21" s="79">
        <f t="shared" si="0"/>
        <v>3096453.4799999995</v>
      </c>
      <c r="N21" s="79"/>
      <c r="O21" s="94" t="str">
        <f t="shared" si="8"/>
        <v>Сб</v>
      </c>
      <c r="P21" s="96">
        <f t="shared" si="6"/>
        <v>2</v>
      </c>
      <c r="Q21" s="96">
        <f>DAY('Общие данные'!$B$79)+P21</f>
        <v>7</v>
      </c>
      <c r="R21" s="91">
        <f>IF(A21&lt;='Общие данные'!$B$82,DATE(YEAR($B$8),MONTH($B$8)+A20,DAY('Общие данные'!$B$79)),0)</f>
        <v>46543</v>
      </c>
      <c r="S21" s="77"/>
      <c r="T21" s="77"/>
      <c r="U21" s="77"/>
      <c r="V21" s="77"/>
    </row>
    <row r="22" spans="1:22" x14ac:dyDescent="0.25">
      <c r="A22" s="83">
        <v>15</v>
      </c>
      <c r="B22" s="84">
        <f>IF(A22&lt;='Общие данные'!$B$82,DATE(YEAR(R22),MONTH(R22),DAY(IF(A22='Общие данные'!$B$82,'Общие данные'!$B$67,IF(A22&lt;'Общие данные'!$B$82,(Q22),IF(A22&gt;'Общие данные'!$B$82,$H$56,0))))))</f>
        <v>46573</v>
      </c>
      <c r="C22" s="48">
        <f t="shared" si="1"/>
        <v>31777777.840000026</v>
      </c>
      <c r="D22" s="48">
        <f t="shared" si="2"/>
        <v>1444444.44</v>
      </c>
      <c r="E22" s="48">
        <f t="shared" si="3"/>
        <v>1340760.96</v>
      </c>
      <c r="F22" s="48">
        <f t="shared" si="4"/>
        <v>2785205.4</v>
      </c>
      <c r="G22" s="77">
        <f t="shared" si="7"/>
        <v>28</v>
      </c>
      <c r="H22" s="77">
        <f t="shared" si="5"/>
        <v>365</v>
      </c>
      <c r="I22" s="85">
        <f t="shared" si="10"/>
        <v>1444444.44</v>
      </c>
      <c r="J22" s="85">
        <f>SUM($I$8:I21)</f>
        <v>20222222.16</v>
      </c>
      <c r="K22" s="85">
        <f t="shared" si="9"/>
        <v>31777777.84</v>
      </c>
      <c r="L22" s="79">
        <f>ROUND(C22*'Общие данные'!$B$85/H22,2)*G22</f>
        <v>1340760.96</v>
      </c>
      <c r="M22" s="79">
        <f t="shared" si="0"/>
        <v>2785205.4</v>
      </c>
      <c r="N22" s="79"/>
      <c r="O22" s="94" t="str">
        <f t="shared" si="8"/>
        <v>Пн</v>
      </c>
      <c r="P22" s="96">
        <f t="shared" si="6"/>
        <v>0</v>
      </c>
      <c r="Q22" s="96">
        <f>DAY('Общие данные'!$B$79)+P22</f>
        <v>5</v>
      </c>
      <c r="R22" s="91">
        <f>IF(A22&lt;='Общие данные'!$B$82,DATE(YEAR($B$8),MONTH($B$8)+A21,DAY('Общие данные'!$B$79)),0)</f>
        <v>46573</v>
      </c>
      <c r="S22" s="77"/>
      <c r="T22" s="77"/>
      <c r="U22" s="77"/>
      <c r="V22" s="77"/>
    </row>
    <row r="23" spans="1:22" x14ac:dyDescent="0.25">
      <c r="A23" s="83">
        <v>16</v>
      </c>
      <c r="B23" s="84">
        <f>IF(A23&lt;='Общие данные'!$B$82,DATE(YEAR(R23),MONTH(R23),DAY(IF(A23='Общие данные'!$B$82,'Общие данные'!$B$67,IF(A23&lt;'Общие данные'!$B$82,(Q23),IF(A23&gt;'Общие данные'!$B$82,$H$56,0))))))</f>
        <v>46604</v>
      </c>
      <c r="C23" s="48">
        <f t="shared" si="1"/>
        <v>30333333.400000025</v>
      </c>
      <c r="D23" s="48">
        <f t="shared" si="2"/>
        <v>1444444.44</v>
      </c>
      <c r="E23" s="48">
        <f t="shared" si="3"/>
        <v>1416940.56</v>
      </c>
      <c r="F23" s="48">
        <f t="shared" si="4"/>
        <v>2861385</v>
      </c>
      <c r="G23" s="77">
        <f t="shared" si="7"/>
        <v>31</v>
      </c>
      <c r="H23" s="77">
        <f t="shared" si="5"/>
        <v>365</v>
      </c>
      <c r="I23" s="85">
        <f t="shared" si="10"/>
        <v>1444444.44</v>
      </c>
      <c r="J23" s="85">
        <f>SUM($I$8:I22)</f>
        <v>21666666.600000001</v>
      </c>
      <c r="K23" s="85">
        <f t="shared" si="9"/>
        <v>30333333.399999999</v>
      </c>
      <c r="L23" s="79">
        <f>ROUND(C23*'Общие данные'!$B$85/H23,2)*G23</f>
        <v>1416940.56</v>
      </c>
      <c r="M23" s="79">
        <f t="shared" si="0"/>
        <v>2861385</v>
      </c>
      <c r="N23" s="79"/>
      <c r="O23" s="94" t="str">
        <f t="shared" si="8"/>
        <v>Чт</v>
      </c>
      <c r="P23" s="96">
        <f t="shared" si="6"/>
        <v>0</v>
      </c>
      <c r="Q23" s="96">
        <f>DAY('Общие данные'!$B$79)+P23</f>
        <v>5</v>
      </c>
      <c r="R23" s="91">
        <f>IF(A23&lt;='Общие данные'!$B$82,DATE(YEAR($B$8),MONTH($B$8)+A22,DAY('Общие данные'!$B$79)),0)</f>
        <v>46604</v>
      </c>
      <c r="S23" s="77"/>
      <c r="T23" s="77"/>
      <c r="U23" s="77"/>
      <c r="V23" s="77"/>
    </row>
    <row r="24" spans="1:22" x14ac:dyDescent="0.25">
      <c r="A24" s="83">
        <v>17</v>
      </c>
      <c r="B24" s="84">
        <f>IF(A24&lt;='Общие данные'!$B$82,DATE(YEAR(R24),MONTH(R24),DAY(IF(A24='Общие данные'!$B$82,'Общие данные'!$B$67,IF(A24&lt;'Общие данные'!$B$82,(Q24),IF(A24&gt;'Общие данные'!$B$82,$H$56,0))))))</f>
        <v>46636</v>
      </c>
      <c r="C24" s="48">
        <f t="shared" si="1"/>
        <v>28888888.960000023</v>
      </c>
      <c r="D24" s="48">
        <f t="shared" si="2"/>
        <v>1444444.44</v>
      </c>
      <c r="E24" s="48">
        <f t="shared" si="3"/>
        <v>1392998.3999999999</v>
      </c>
      <c r="F24" s="48">
        <f t="shared" si="4"/>
        <v>2837442.84</v>
      </c>
      <c r="G24" s="77">
        <f t="shared" si="7"/>
        <v>32</v>
      </c>
      <c r="H24" s="77">
        <f t="shared" si="5"/>
        <v>365</v>
      </c>
      <c r="I24" s="85">
        <f t="shared" si="10"/>
        <v>1444444.44</v>
      </c>
      <c r="J24" s="85">
        <f>SUM($I$8:I23)</f>
        <v>23111111.040000003</v>
      </c>
      <c r="K24" s="85">
        <f t="shared" si="9"/>
        <v>28888888.959999997</v>
      </c>
      <c r="L24" s="79">
        <f>ROUND(C24*'Общие данные'!$B$85/H24,2)*G24</f>
        <v>1392998.3999999999</v>
      </c>
      <c r="M24" s="79">
        <f t="shared" si="0"/>
        <v>2837442.84</v>
      </c>
      <c r="N24" s="79"/>
      <c r="O24" s="94" t="str">
        <f t="shared" si="8"/>
        <v>Вс</v>
      </c>
      <c r="P24" s="96">
        <f t="shared" si="6"/>
        <v>1</v>
      </c>
      <c r="Q24" s="96">
        <f>DAY('Общие данные'!$B$79)+P24</f>
        <v>6</v>
      </c>
      <c r="R24" s="91">
        <f>IF(A24&lt;='Общие данные'!$B$82,DATE(YEAR($B$8),MONTH($B$8)+A23,DAY('Общие данные'!$B$79)),0)</f>
        <v>46635</v>
      </c>
      <c r="S24" s="77"/>
      <c r="T24" s="77"/>
      <c r="U24" s="77"/>
      <c r="V24" s="77"/>
    </row>
    <row r="25" spans="1:22" x14ac:dyDescent="0.25">
      <c r="A25" s="83">
        <v>18</v>
      </c>
      <c r="B25" s="84">
        <f>IF(A25&lt;='Общие данные'!$B$82,DATE(YEAR(R25),MONTH(R25),DAY(IF(A25='Общие данные'!$B$82,'Общие данные'!$B$67,IF(A25&lt;'Общие данные'!$B$82,(Q25),IF(A25&gt;'Общие данные'!$B$82,$H$56,0))))))</f>
        <v>46665</v>
      </c>
      <c r="C25" s="48">
        <f t="shared" si="1"/>
        <v>27444444.520000022</v>
      </c>
      <c r="D25" s="48">
        <f t="shared" si="2"/>
        <v>1444444.44</v>
      </c>
      <c r="E25" s="48">
        <f t="shared" si="3"/>
        <v>1199284.56</v>
      </c>
      <c r="F25" s="48">
        <f t="shared" si="4"/>
        <v>2643729</v>
      </c>
      <c r="G25" s="77">
        <f t="shared" si="7"/>
        <v>29</v>
      </c>
      <c r="H25" s="77">
        <f t="shared" si="5"/>
        <v>365</v>
      </c>
      <c r="I25" s="85">
        <f t="shared" si="10"/>
        <v>1444444.44</v>
      </c>
      <c r="J25" s="85">
        <f>SUM($I$8:I24)</f>
        <v>24555555.480000004</v>
      </c>
      <c r="K25" s="85">
        <f t="shared" si="9"/>
        <v>27444444.519999996</v>
      </c>
      <c r="L25" s="79">
        <f>ROUND(C25*'Общие данные'!$B$85/H25,2)*G25</f>
        <v>1199284.56</v>
      </c>
      <c r="M25" s="79">
        <f t="shared" si="0"/>
        <v>2643729</v>
      </c>
      <c r="N25" s="79"/>
      <c r="O25" s="94" t="str">
        <f t="shared" si="8"/>
        <v>Вт</v>
      </c>
      <c r="P25" s="96">
        <f t="shared" si="6"/>
        <v>0</v>
      </c>
      <c r="Q25" s="96">
        <f>DAY('Общие данные'!$B$79)+P25</f>
        <v>5</v>
      </c>
      <c r="R25" s="91">
        <f>IF(A25&lt;='Общие данные'!$B$82,DATE(YEAR($B$8),MONTH($B$8)+A24,DAY('Общие данные'!$B$79)),0)</f>
        <v>46665</v>
      </c>
      <c r="S25" s="77"/>
      <c r="T25" s="77"/>
      <c r="U25" s="77"/>
      <c r="V25" s="77"/>
    </row>
    <row r="26" spans="1:22" x14ac:dyDescent="0.25">
      <c r="A26" s="83">
        <v>19</v>
      </c>
      <c r="B26" s="84">
        <f>IF(A26&lt;='Общие данные'!$B$82,DATE(YEAR(R26),MONTH(R26),DAY(IF(A26='Общие данные'!$B$82,'Общие данные'!$B$67,IF(A26&lt;'Общие данные'!$B$82,(Q26),IF(A26&gt;'Общие данные'!$B$82,$H$56,0))))))</f>
        <v>46696</v>
      </c>
      <c r="C26" s="48">
        <f t="shared" si="1"/>
        <v>26000000.080000021</v>
      </c>
      <c r="D26" s="48">
        <f t="shared" si="2"/>
        <v>1444444.44</v>
      </c>
      <c r="E26" s="48">
        <f t="shared" si="3"/>
        <v>1214520.48</v>
      </c>
      <c r="F26" s="48">
        <f t="shared" si="4"/>
        <v>2658964.92</v>
      </c>
      <c r="G26" s="77">
        <f t="shared" si="7"/>
        <v>31</v>
      </c>
      <c r="H26" s="77">
        <f t="shared" si="5"/>
        <v>365</v>
      </c>
      <c r="I26" s="85">
        <f t="shared" si="10"/>
        <v>1444444.44</v>
      </c>
      <c r="J26" s="85">
        <f>SUM($I$8:I25)</f>
        <v>25999999.920000006</v>
      </c>
      <c r="K26" s="85">
        <f t="shared" si="9"/>
        <v>26000000.079999994</v>
      </c>
      <c r="L26" s="79">
        <f>ROUND(C26*'Общие данные'!$B$85/H26,2)*G26</f>
        <v>1214520.48</v>
      </c>
      <c r="M26" s="79">
        <f t="shared" si="0"/>
        <v>2658964.92</v>
      </c>
      <c r="N26" s="79"/>
      <c r="O26" s="94" t="str">
        <f t="shared" si="8"/>
        <v>Пт</v>
      </c>
      <c r="P26" s="96">
        <f t="shared" si="6"/>
        <v>0</v>
      </c>
      <c r="Q26" s="96">
        <f>DAY('Общие данные'!$B$79)+P26</f>
        <v>5</v>
      </c>
      <c r="R26" s="91">
        <f>IF(A26&lt;='Общие данные'!$B$82,DATE(YEAR($B$8),MONTH($B$8)+A25,DAY('Общие данные'!$B$79)),0)</f>
        <v>46696</v>
      </c>
      <c r="S26" s="77"/>
      <c r="T26" s="77"/>
      <c r="U26" s="77"/>
      <c r="V26" s="77"/>
    </row>
    <row r="27" spans="1:22" x14ac:dyDescent="0.25">
      <c r="A27" s="83">
        <v>20</v>
      </c>
      <c r="B27" s="84">
        <f>IF(A27&lt;='Общие данные'!$B$82,DATE(YEAR(R27),MONTH(R27),DAY(IF(A27='Общие данные'!$B$82,'Общие данные'!$B$67,IF(A27&lt;'Общие данные'!$B$82,(Q27),IF(A27&gt;'Общие данные'!$B$82,$H$56,0))))))</f>
        <v>46727</v>
      </c>
      <c r="C27" s="48">
        <f t="shared" si="1"/>
        <v>24555555.640000019</v>
      </c>
      <c r="D27" s="48">
        <f t="shared" si="2"/>
        <v>1444444.44</v>
      </c>
      <c r="E27" s="48">
        <f t="shared" si="3"/>
        <v>1147047.1199999999</v>
      </c>
      <c r="F27" s="48">
        <f t="shared" si="4"/>
        <v>2591491.5599999996</v>
      </c>
      <c r="G27" s="77">
        <f t="shared" si="7"/>
        <v>31</v>
      </c>
      <c r="H27" s="77">
        <f t="shared" si="5"/>
        <v>365</v>
      </c>
      <c r="I27" s="85">
        <f t="shared" si="10"/>
        <v>1444444.44</v>
      </c>
      <c r="J27" s="85">
        <f>SUM($I$8:I26)</f>
        <v>27444444.360000007</v>
      </c>
      <c r="K27" s="85">
        <f t="shared" si="9"/>
        <v>24555555.639999993</v>
      </c>
      <c r="L27" s="79">
        <f>ROUND(C27*'Общие данные'!$B$85/H27,2)*G27</f>
        <v>1147047.1199999999</v>
      </c>
      <c r="M27" s="79">
        <f t="shared" si="0"/>
        <v>2591491.5599999996</v>
      </c>
      <c r="N27" s="79"/>
      <c r="O27" s="94" t="str">
        <f t="shared" si="8"/>
        <v>Вс</v>
      </c>
      <c r="P27" s="96">
        <f t="shared" si="6"/>
        <v>1</v>
      </c>
      <c r="Q27" s="96">
        <f>DAY('Общие данные'!$B$79)+P27</f>
        <v>6</v>
      </c>
      <c r="R27" s="91">
        <f>IF(A27&lt;='Общие данные'!$B$82,DATE(YEAR($B$8),MONTH($B$8)+A26,DAY('Общие данные'!$B$79)),0)</f>
        <v>46726</v>
      </c>
      <c r="S27" s="77"/>
      <c r="T27" s="77"/>
      <c r="U27" s="77"/>
      <c r="V27" s="77"/>
    </row>
    <row r="28" spans="1:22" x14ac:dyDescent="0.25">
      <c r="A28" s="83">
        <v>21</v>
      </c>
      <c r="B28" s="84">
        <f>IF(A28&lt;='Общие данные'!$B$82,DATE(YEAR(R28),MONTH(R28),DAY(IF(A28='Общие данные'!$B$82,'Общие данные'!$B$67,IF(A28&lt;'Общие данные'!$B$82,(Q28),IF(A28&gt;'Общие данные'!$B$82,$H$56,0))))))</f>
        <v>46757</v>
      </c>
      <c r="C28" s="48">
        <f t="shared" si="1"/>
        <v>23111111.200000018</v>
      </c>
      <c r="D28" s="48">
        <f t="shared" si="2"/>
        <v>1444444.44</v>
      </c>
      <c r="E28" s="48">
        <f t="shared" si="3"/>
        <v>1041894.2999999999</v>
      </c>
      <c r="F28" s="48">
        <f t="shared" si="4"/>
        <v>2486338.7399999998</v>
      </c>
      <c r="G28" s="77">
        <f t="shared" si="7"/>
        <v>30</v>
      </c>
      <c r="H28" s="77">
        <f t="shared" si="5"/>
        <v>366</v>
      </c>
      <c r="I28" s="85">
        <f t="shared" si="10"/>
        <v>1444444.44</v>
      </c>
      <c r="J28" s="85">
        <f>SUM($I$8:I27)</f>
        <v>28888888.800000008</v>
      </c>
      <c r="K28" s="85">
        <f t="shared" si="9"/>
        <v>23111111.199999992</v>
      </c>
      <c r="L28" s="79">
        <f>ROUND(C28*'Общие данные'!$B$85/H28,2)*G28</f>
        <v>1041894.2999999999</v>
      </c>
      <c r="M28" s="79">
        <f t="shared" si="0"/>
        <v>2486338.7399999998</v>
      </c>
      <c r="N28" s="79"/>
      <c r="O28" s="94" t="str">
        <f t="shared" si="8"/>
        <v>Ср</v>
      </c>
      <c r="P28" s="96">
        <f t="shared" si="6"/>
        <v>0</v>
      </c>
      <c r="Q28" s="96">
        <f>DAY('Общие данные'!$B$79)+P28</f>
        <v>5</v>
      </c>
      <c r="R28" s="91">
        <f>IF(A28&lt;='Общие данные'!$B$82,DATE(YEAR($B$8),MONTH($B$8)+A27,DAY('Общие данные'!$B$79)),0)</f>
        <v>46757</v>
      </c>
      <c r="S28" s="77"/>
      <c r="T28" s="77"/>
      <c r="U28" s="77"/>
      <c r="V28" s="77"/>
    </row>
    <row r="29" spans="1:22" x14ac:dyDescent="0.25">
      <c r="A29" s="83">
        <v>22</v>
      </c>
      <c r="B29" s="84">
        <f>IF(A29&lt;='Общие данные'!$B$82,DATE(YEAR(R29),MONTH(R29),DAY(IF(A29='Общие данные'!$B$82,'Общие данные'!$B$67,IF(A29&lt;'Общие данные'!$B$82,(Q29),IF(A29&gt;'Общие данные'!$B$82,$H$56,0))))))</f>
        <v>46790</v>
      </c>
      <c r="C29" s="48">
        <f t="shared" si="1"/>
        <v>21666666.760000017</v>
      </c>
      <c r="D29" s="48">
        <f t="shared" si="2"/>
        <v>1444444.44</v>
      </c>
      <c r="E29" s="48">
        <f t="shared" si="3"/>
        <v>1074453.6000000001</v>
      </c>
      <c r="F29" s="48">
        <f t="shared" si="4"/>
        <v>2518898.04</v>
      </c>
      <c r="G29" s="77">
        <f t="shared" si="7"/>
        <v>33</v>
      </c>
      <c r="H29" s="77">
        <f t="shared" si="5"/>
        <v>366</v>
      </c>
      <c r="I29" s="85">
        <f t="shared" si="10"/>
        <v>1444444.44</v>
      </c>
      <c r="J29" s="85">
        <f>SUM($I$8:I28)</f>
        <v>30333333.24000001</v>
      </c>
      <c r="K29" s="85">
        <f t="shared" si="9"/>
        <v>21666666.75999999</v>
      </c>
      <c r="L29" s="79">
        <f>ROUND(C29*'Общие данные'!$B$85/H29,2)*G29</f>
        <v>1074453.6000000001</v>
      </c>
      <c r="M29" s="79">
        <f t="shared" si="0"/>
        <v>2518898.04</v>
      </c>
      <c r="N29" s="79"/>
      <c r="O29" s="94" t="str">
        <f t="shared" si="8"/>
        <v>Сб</v>
      </c>
      <c r="P29" s="96">
        <f t="shared" si="6"/>
        <v>2</v>
      </c>
      <c r="Q29" s="96">
        <f>DAY('Общие данные'!$B$79)+P29</f>
        <v>7</v>
      </c>
      <c r="R29" s="91">
        <f>IF(A29&lt;='Общие данные'!$B$82,DATE(YEAR($B$8),MONTH($B$8)+A28,DAY('Общие данные'!$B$79)),0)</f>
        <v>46788</v>
      </c>
      <c r="S29" s="77"/>
      <c r="T29" s="77"/>
      <c r="U29" s="77"/>
      <c r="V29" s="77"/>
    </row>
    <row r="30" spans="1:22" x14ac:dyDescent="0.25">
      <c r="A30" s="83">
        <v>23</v>
      </c>
      <c r="B30" s="84">
        <f>IF(A30&lt;='Общие данные'!$B$82,DATE(YEAR(R30),MONTH(R30),DAY(IF(A30='Общие данные'!$B$82,'Общие данные'!$B$67,IF(A30&lt;'Общие данные'!$B$82,(Q30),IF(A30&gt;'Общие данные'!$B$82,$H$56,0))))))</f>
        <v>46818</v>
      </c>
      <c r="C30" s="48">
        <f t="shared" si="1"/>
        <v>20222222.320000015</v>
      </c>
      <c r="D30" s="48">
        <f t="shared" si="2"/>
        <v>1444444.44</v>
      </c>
      <c r="E30" s="48">
        <f t="shared" si="3"/>
        <v>850880.52</v>
      </c>
      <c r="F30" s="48">
        <f t="shared" si="4"/>
        <v>2295324.96</v>
      </c>
      <c r="G30" s="77">
        <f t="shared" si="7"/>
        <v>28</v>
      </c>
      <c r="H30" s="77">
        <f t="shared" si="5"/>
        <v>366</v>
      </c>
      <c r="I30" s="85">
        <f t="shared" si="10"/>
        <v>1444444.44</v>
      </c>
      <c r="J30" s="85">
        <f>SUM($I$8:I29)</f>
        <v>31777777.680000011</v>
      </c>
      <c r="K30" s="85">
        <f t="shared" si="9"/>
        <v>20222222.319999989</v>
      </c>
      <c r="L30" s="79">
        <f>ROUND(C30*'Общие данные'!$B$85/H30,2)*G30</f>
        <v>850880.52</v>
      </c>
      <c r="M30" s="79">
        <f t="shared" si="0"/>
        <v>2295324.96</v>
      </c>
      <c r="N30" s="79"/>
      <c r="O30" s="94" t="str">
        <f t="shared" si="8"/>
        <v>Вс</v>
      </c>
      <c r="P30" s="96">
        <f t="shared" si="6"/>
        <v>1</v>
      </c>
      <c r="Q30" s="96">
        <f>DAY('Общие данные'!$B$79)+P30</f>
        <v>6</v>
      </c>
      <c r="R30" s="91">
        <f>IF(A30&lt;='Общие данные'!$B$82,DATE(YEAR($B$8),MONTH($B$8)+A29,DAY('Общие данные'!$B$79)),0)</f>
        <v>46817</v>
      </c>
      <c r="S30" s="77"/>
      <c r="T30" s="77"/>
      <c r="U30" s="77"/>
      <c r="V30" s="77"/>
    </row>
    <row r="31" spans="1:22" x14ac:dyDescent="0.25">
      <c r="A31" s="83">
        <v>24</v>
      </c>
      <c r="B31" s="84">
        <f>IF(A31&lt;='Общие данные'!$B$82,DATE(YEAR(R31),MONTH(R31),DAY(IF(A31='Общие данные'!$B$82,'Общие данные'!$B$67,IF(A31&lt;'Общие данные'!$B$82,(Q31),IF(A31&gt;'Общие данные'!$B$82,$H$56,0))))))</f>
        <v>46848</v>
      </c>
      <c r="C31" s="48">
        <f t="shared" ref="C31" si="11">C30-D30</f>
        <v>18777777.880000014</v>
      </c>
      <c r="D31" s="48">
        <f t="shared" ref="D31" si="12">IF(C31=0,L31,IF(C31&gt;1,I31))</f>
        <v>1444444.44</v>
      </c>
      <c r="E31" s="48">
        <f t="shared" ref="E31" si="13">IF(C31=0,N30,IF(C31&gt;1,L31))</f>
        <v>846539.10000000009</v>
      </c>
      <c r="F31" s="48">
        <f t="shared" ref="F31" si="14">IF(C31=0,N30,IF(C31&gt;1,M31))</f>
        <v>2290983.54</v>
      </c>
      <c r="G31" s="77">
        <f t="shared" si="7"/>
        <v>30</v>
      </c>
      <c r="H31" s="77">
        <f t="shared" si="5"/>
        <v>366</v>
      </c>
      <c r="I31" s="85">
        <f t="shared" si="10"/>
        <v>1444444.44</v>
      </c>
      <c r="J31" s="85">
        <f>SUM($I$8:I30)</f>
        <v>33222222.120000012</v>
      </c>
      <c r="K31" s="85">
        <f t="shared" si="9"/>
        <v>18777777.879999988</v>
      </c>
      <c r="L31" s="79">
        <f>ROUND(C31*'Общие данные'!$B$85/H31,2)*G31</f>
        <v>846539.10000000009</v>
      </c>
      <c r="M31" s="79">
        <f t="shared" si="0"/>
        <v>2290983.54</v>
      </c>
      <c r="N31" s="79"/>
      <c r="O31" s="94" t="str">
        <f t="shared" si="8"/>
        <v>Ср</v>
      </c>
      <c r="P31" s="96">
        <f t="shared" si="6"/>
        <v>0</v>
      </c>
      <c r="Q31" s="96">
        <f>DAY('Общие данные'!$B$79)+P31</f>
        <v>5</v>
      </c>
      <c r="R31" s="91">
        <f>IF(A31&lt;='Общие данные'!$B$82,DATE(YEAR($B$8),MONTH($B$8)+A30,DAY('Общие данные'!$B$79)),0)</f>
        <v>46848</v>
      </c>
      <c r="S31" s="77"/>
      <c r="T31" s="77"/>
      <c r="U31" s="77"/>
      <c r="V31" s="77"/>
    </row>
    <row r="32" spans="1:22" x14ac:dyDescent="0.25">
      <c r="A32" s="83">
        <f>1+A31</f>
        <v>25</v>
      </c>
      <c r="B32" s="84">
        <f>IF(A32&lt;='Общие данные'!$B$82,DATE(YEAR(R32),MONTH(R32),DAY(IF(A32='Общие данные'!$B$82,'Общие данные'!$B$67,IF(A32&lt;'Общие данные'!$B$82,(Q32),IF(A32&gt;'Общие данные'!$B$82,$H$56,0))))))</f>
        <v>46878</v>
      </c>
      <c r="C32" s="48">
        <f t="shared" ref="C32:C42" si="15">C31-D31</f>
        <v>17333333.440000013</v>
      </c>
      <c r="D32" s="48">
        <f t="shared" ref="D32:D42" si="16">IF(C32=0,L32,IF(C32&gt;1,I32))</f>
        <v>1444444.44</v>
      </c>
      <c r="E32" s="48">
        <f t="shared" ref="E32:E42" si="17">IF(C32=0,N31,IF(C32&gt;1,L32))</f>
        <v>781420.8</v>
      </c>
      <c r="F32" s="48">
        <f t="shared" ref="F32:F42" si="18">IF(C32=0,N31,IF(C32&gt;1,M32))</f>
        <v>2225865.2400000002</v>
      </c>
      <c r="G32" s="77">
        <f t="shared" ref="G32:G42" si="19">B32-B31</f>
        <v>30</v>
      </c>
      <c r="H32" s="77">
        <f t="shared" ref="H32:H42" si="20">DATE(YEAR(B32),12,31)-DATE(YEAR(B32),1,1)+1</f>
        <v>366</v>
      </c>
      <c r="I32" s="85">
        <f t="shared" ref="I32:I42" si="21">IF($L$5=A32,K32,IF($L$5&gt;A32,I31))</f>
        <v>1444444.44</v>
      </c>
      <c r="J32" s="85">
        <f>SUM($I$8:I31)</f>
        <v>34666666.56000001</v>
      </c>
      <c r="K32" s="85">
        <f t="shared" ref="K32:K42" si="22">$J$12-J32</f>
        <v>17333333.43999999</v>
      </c>
      <c r="L32" s="79">
        <f>ROUND(C32*'Общие данные'!$B$85/H32,2)*G32</f>
        <v>781420.8</v>
      </c>
      <c r="M32" s="79">
        <f t="shared" ref="M32:M42" si="23">D32+E32</f>
        <v>2225865.2400000002</v>
      </c>
      <c r="N32" s="79"/>
      <c r="O32" s="94" t="str">
        <f t="shared" ref="O32:O42" si="24">TEXT(R32,"ддд")</f>
        <v>Пт</v>
      </c>
      <c r="P32" s="96">
        <f t="shared" ref="P32:P42" si="25">IF(O32=$U$8,2,IF(O32=$V$8,1,0))</f>
        <v>0</v>
      </c>
      <c r="Q32" s="96">
        <f>DAY('Общие данные'!$B$79)+P32</f>
        <v>5</v>
      </c>
      <c r="R32" s="91">
        <f>IF(A32&lt;='Общие данные'!$B$82,DATE(YEAR($B$8),MONTH($B$8)+A31,DAY('Общие данные'!$B$79)),0)</f>
        <v>46878</v>
      </c>
      <c r="S32" s="77"/>
      <c r="T32" s="77"/>
      <c r="U32" s="77"/>
      <c r="V32" s="77"/>
    </row>
    <row r="33" spans="1:22" x14ac:dyDescent="0.25">
      <c r="A33" s="83">
        <f t="shared" ref="A33:A42" si="26">1+A32</f>
        <v>26</v>
      </c>
      <c r="B33" s="84">
        <f>IF(A33&lt;='Общие данные'!$B$82,DATE(YEAR(R33),MONTH(R33),DAY(IF(A33='Общие данные'!$B$82,'Общие данные'!$B$67,IF(A33&lt;'Общие данные'!$B$82,(Q33),IF(A33&gt;'Общие данные'!$B$82,$H$56,0))))))</f>
        <v>46909</v>
      </c>
      <c r="C33" s="48">
        <f t="shared" si="15"/>
        <v>15888889.000000013</v>
      </c>
      <c r="D33" s="48">
        <f t="shared" si="16"/>
        <v>1444444.44</v>
      </c>
      <c r="E33" s="48">
        <f t="shared" si="17"/>
        <v>740179.25</v>
      </c>
      <c r="F33" s="48">
        <f t="shared" si="18"/>
        <v>2184623.69</v>
      </c>
      <c r="G33" s="77">
        <f t="shared" si="19"/>
        <v>31</v>
      </c>
      <c r="H33" s="77">
        <f t="shared" si="20"/>
        <v>366</v>
      </c>
      <c r="I33" s="85">
        <f t="shared" si="21"/>
        <v>1444444.44</v>
      </c>
      <c r="J33" s="85">
        <f>SUM($I$8:I32)</f>
        <v>36111111.000000007</v>
      </c>
      <c r="K33" s="85">
        <f t="shared" si="22"/>
        <v>15888888.999999993</v>
      </c>
      <c r="L33" s="79">
        <f>ROUND(C33*'Общие данные'!$B$85/H33,2)*G33</f>
        <v>740179.25</v>
      </c>
      <c r="M33" s="79">
        <f t="shared" si="23"/>
        <v>2184623.69</v>
      </c>
      <c r="N33" s="79"/>
      <c r="O33" s="94" t="str">
        <f t="shared" si="24"/>
        <v>Пн</v>
      </c>
      <c r="P33" s="96">
        <f t="shared" si="25"/>
        <v>0</v>
      </c>
      <c r="Q33" s="96">
        <f>DAY('Общие данные'!$B$79)+P33</f>
        <v>5</v>
      </c>
      <c r="R33" s="91">
        <f>IF(A33&lt;='Общие данные'!$B$82,DATE(YEAR($B$8),MONTH($B$8)+A32,DAY('Общие данные'!$B$79)),0)</f>
        <v>46909</v>
      </c>
      <c r="S33" s="77"/>
      <c r="T33" s="77"/>
      <c r="U33" s="77"/>
      <c r="V33" s="77"/>
    </row>
    <row r="34" spans="1:22" x14ac:dyDescent="0.25">
      <c r="A34" s="83">
        <f t="shared" si="26"/>
        <v>27</v>
      </c>
      <c r="B34" s="84">
        <f>IF(A34&lt;='Общие данные'!$B$82,DATE(YEAR(R34),MONTH(R34),DAY(IF(A34='Общие данные'!$B$82,'Общие данные'!$B$67,IF(A34&lt;'Общие данные'!$B$82,(Q34),IF(A34&gt;'Общие данные'!$B$82,$H$56,0))))))</f>
        <v>46939</v>
      </c>
      <c r="C34" s="48">
        <f t="shared" si="15"/>
        <v>14444444.560000014</v>
      </c>
      <c r="D34" s="48">
        <f t="shared" si="16"/>
        <v>1444444.44</v>
      </c>
      <c r="E34" s="48">
        <f t="shared" si="17"/>
        <v>651183.9</v>
      </c>
      <c r="F34" s="48">
        <f t="shared" si="18"/>
        <v>2095628.3399999999</v>
      </c>
      <c r="G34" s="77">
        <f t="shared" si="19"/>
        <v>30</v>
      </c>
      <c r="H34" s="77">
        <f t="shared" si="20"/>
        <v>366</v>
      </c>
      <c r="I34" s="85">
        <f t="shared" si="21"/>
        <v>1444444.44</v>
      </c>
      <c r="J34" s="85">
        <f>SUM($I$8:I33)</f>
        <v>37555555.440000005</v>
      </c>
      <c r="K34" s="85">
        <f t="shared" si="22"/>
        <v>14444444.559999995</v>
      </c>
      <c r="L34" s="79">
        <f>ROUND(C34*'Общие данные'!$B$85/H34,2)*G34</f>
        <v>651183.9</v>
      </c>
      <c r="M34" s="79">
        <f t="shared" si="23"/>
        <v>2095628.3399999999</v>
      </c>
      <c r="N34" s="79"/>
      <c r="O34" s="94" t="str">
        <f t="shared" si="24"/>
        <v>Ср</v>
      </c>
      <c r="P34" s="96">
        <f t="shared" si="25"/>
        <v>0</v>
      </c>
      <c r="Q34" s="96">
        <f>DAY('Общие данные'!$B$79)+P34</f>
        <v>5</v>
      </c>
      <c r="R34" s="91">
        <f>IF(A34&lt;='Общие данные'!$B$82,DATE(YEAR($B$8),MONTH($B$8)+A33,DAY('Общие данные'!$B$79)),0)</f>
        <v>46939</v>
      </c>
      <c r="S34" s="77"/>
      <c r="T34" s="77"/>
      <c r="U34" s="77"/>
      <c r="V34" s="77"/>
    </row>
    <row r="35" spans="1:22" x14ac:dyDescent="0.25">
      <c r="A35" s="83">
        <f t="shared" si="26"/>
        <v>28</v>
      </c>
      <c r="B35" s="84">
        <f>IF(A35&lt;='Общие данные'!$B$82,DATE(YEAR(R35),MONTH(R35),DAY(IF(A35='Общие данные'!$B$82,'Общие данные'!$B$67,IF(A35&lt;'Общие данные'!$B$82,(Q35),IF(A35&gt;'Общие данные'!$B$82,$H$56,0))))))</f>
        <v>46972</v>
      </c>
      <c r="C35" s="48">
        <f t="shared" si="15"/>
        <v>13000000.120000014</v>
      </c>
      <c r="D35" s="48">
        <f t="shared" si="16"/>
        <v>1444444.44</v>
      </c>
      <c r="E35" s="48">
        <f t="shared" si="17"/>
        <v>644672.16</v>
      </c>
      <c r="F35" s="48">
        <f t="shared" si="18"/>
        <v>2089116.6</v>
      </c>
      <c r="G35" s="77">
        <f t="shared" si="19"/>
        <v>33</v>
      </c>
      <c r="H35" s="77">
        <f t="shared" si="20"/>
        <v>366</v>
      </c>
      <c r="I35" s="85">
        <f t="shared" si="21"/>
        <v>1444444.44</v>
      </c>
      <c r="J35" s="85">
        <f>SUM($I$8:I34)</f>
        <v>38999999.880000003</v>
      </c>
      <c r="K35" s="85">
        <f t="shared" si="22"/>
        <v>13000000.119999997</v>
      </c>
      <c r="L35" s="79">
        <f>ROUND(C35*'Общие данные'!$B$85/H35,2)*G35</f>
        <v>644672.16</v>
      </c>
      <c r="M35" s="79">
        <f t="shared" si="23"/>
        <v>2089116.6</v>
      </c>
      <c r="N35" s="79"/>
      <c r="O35" s="94" t="str">
        <f t="shared" si="24"/>
        <v>Сб</v>
      </c>
      <c r="P35" s="96">
        <f t="shared" si="25"/>
        <v>2</v>
      </c>
      <c r="Q35" s="96">
        <f>DAY('Общие данные'!$B$79)+P35</f>
        <v>7</v>
      </c>
      <c r="R35" s="91">
        <f>IF(A35&lt;='Общие данные'!$B$82,DATE(YEAR($B$8),MONTH($B$8)+A34,DAY('Общие данные'!$B$79)),0)</f>
        <v>46970</v>
      </c>
      <c r="S35" s="77"/>
      <c r="T35" s="77"/>
      <c r="U35" s="77"/>
      <c r="V35" s="77"/>
    </row>
    <row r="36" spans="1:22" x14ac:dyDescent="0.25">
      <c r="A36" s="83">
        <f t="shared" si="26"/>
        <v>29</v>
      </c>
      <c r="B36" s="84">
        <f>IF(A36&lt;='Общие данные'!$B$82,DATE(YEAR(R36),MONTH(R36),DAY(IF(A36='Общие данные'!$B$82,'Общие данные'!$B$67,IF(A36&lt;'Общие данные'!$B$82,(Q36),IF(A36&gt;'Общие данные'!$B$82,$H$56,0))))))</f>
        <v>47001</v>
      </c>
      <c r="C36" s="48">
        <f t="shared" si="15"/>
        <v>11555555.680000015</v>
      </c>
      <c r="D36" s="48">
        <f t="shared" si="16"/>
        <v>1444444.44</v>
      </c>
      <c r="E36" s="48">
        <f t="shared" si="17"/>
        <v>503582.39</v>
      </c>
      <c r="F36" s="48">
        <f t="shared" si="18"/>
        <v>1948026.83</v>
      </c>
      <c r="G36" s="77">
        <f t="shared" si="19"/>
        <v>29</v>
      </c>
      <c r="H36" s="77">
        <f t="shared" si="20"/>
        <v>366</v>
      </c>
      <c r="I36" s="85">
        <f t="shared" si="21"/>
        <v>1444444.44</v>
      </c>
      <c r="J36" s="85">
        <f>SUM($I$8:I35)</f>
        <v>40444444.32</v>
      </c>
      <c r="K36" s="85">
        <f t="shared" si="22"/>
        <v>11555555.68</v>
      </c>
      <c r="L36" s="79">
        <f>ROUND(C36*'Общие данные'!$B$85/H36,2)*G36</f>
        <v>503582.39</v>
      </c>
      <c r="M36" s="79">
        <f t="shared" si="23"/>
        <v>1948026.83</v>
      </c>
      <c r="N36" s="79"/>
      <c r="O36" s="94" t="str">
        <f t="shared" si="24"/>
        <v>Вт</v>
      </c>
      <c r="P36" s="96">
        <f t="shared" si="25"/>
        <v>0</v>
      </c>
      <c r="Q36" s="96">
        <f>DAY('Общие данные'!$B$79)+P36</f>
        <v>5</v>
      </c>
      <c r="R36" s="91">
        <f>IF(A36&lt;='Общие данные'!$B$82,DATE(YEAR($B$8),MONTH($B$8)+A35,DAY('Общие данные'!$B$79)),0)</f>
        <v>47001</v>
      </c>
      <c r="S36" s="77"/>
      <c r="T36" s="77"/>
      <c r="U36" s="77"/>
      <c r="V36" s="77"/>
    </row>
    <row r="37" spans="1:22" x14ac:dyDescent="0.25">
      <c r="A37" s="83">
        <f t="shared" si="26"/>
        <v>30</v>
      </c>
      <c r="B37" s="84">
        <f>IF(A37&lt;='Общие данные'!$B$82,DATE(YEAR(R37),MONTH(R37),DAY(IF(A37='Общие данные'!$B$82,'Общие данные'!$B$67,IF(A37&lt;'Общие данные'!$B$82,(Q37),IF(A37&gt;'Общие данные'!$B$82,$H$56,0))))))</f>
        <v>47031</v>
      </c>
      <c r="C37" s="48">
        <f t="shared" si="15"/>
        <v>10111111.240000015</v>
      </c>
      <c r="D37" s="48">
        <f t="shared" si="16"/>
        <v>1444444.44</v>
      </c>
      <c r="E37" s="48">
        <f t="shared" si="17"/>
        <v>455828.7</v>
      </c>
      <c r="F37" s="48">
        <f t="shared" si="18"/>
        <v>1900273.14</v>
      </c>
      <c r="G37" s="77">
        <f t="shared" si="19"/>
        <v>30</v>
      </c>
      <c r="H37" s="77">
        <f t="shared" si="20"/>
        <v>366</v>
      </c>
      <c r="I37" s="85">
        <f t="shared" si="21"/>
        <v>1444444.44</v>
      </c>
      <c r="J37" s="85">
        <f>SUM($I$8:I36)</f>
        <v>41888888.759999998</v>
      </c>
      <c r="K37" s="85">
        <f t="shared" si="22"/>
        <v>10111111.240000002</v>
      </c>
      <c r="L37" s="79">
        <f>ROUND(C37*'Общие данные'!$B$85/H37,2)*G37</f>
        <v>455828.7</v>
      </c>
      <c r="M37" s="79">
        <f t="shared" si="23"/>
        <v>1900273.14</v>
      </c>
      <c r="N37" s="79"/>
      <c r="O37" s="94" t="str">
        <f t="shared" si="24"/>
        <v>Чт</v>
      </c>
      <c r="P37" s="96">
        <f t="shared" si="25"/>
        <v>0</v>
      </c>
      <c r="Q37" s="96">
        <f>DAY('Общие данные'!$B$79)+P37</f>
        <v>5</v>
      </c>
      <c r="R37" s="91">
        <f>IF(A37&lt;='Общие данные'!$B$82,DATE(YEAR($B$8),MONTH($B$8)+A36,DAY('Общие данные'!$B$79)),0)</f>
        <v>47031</v>
      </c>
      <c r="S37" s="77"/>
      <c r="T37" s="77"/>
      <c r="U37" s="77"/>
      <c r="V37" s="77"/>
    </row>
    <row r="38" spans="1:22" x14ac:dyDescent="0.25">
      <c r="A38" s="83">
        <f t="shared" si="26"/>
        <v>31</v>
      </c>
      <c r="B38" s="84">
        <f>IF(A38&lt;='Общие данные'!$B$82,DATE(YEAR(R38),MONTH(R38),DAY(IF(A38='Общие данные'!$B$82,'Общие данные'!$B$67,IF(A38&lt;'Общие данные'!$B$82,(Q38),IF(A38&gt;'Общие данные'!$B$82,$H$56,0))))))</f>
        <v>47063</v>
      </c>
      <c r="C38" s="48">
        <f t="shared" si="15"/>
        <v>8666666.8000000156</v>
      </c>
      <c r="D38" s="48">
        <f t="shared" si="16"/>
        <v>1444444.44</v>
      </c>
      <c r="E38" s="48">
        <f t="shared" si="17"/>
        <v>416757.76000000001</v>
      </c>
      <c r="F38" s="48">
        <f t="shared" si="18"/>
        <v>1861202.2</v>
      </c>
      <c r="G38" s="77">
        <f t="shared" si="19"/>
        <v>32</v>
      </c>
      <c r="H38" s="77">
        <f t="shared" si="20"/>
        <v>366</v>
      </c>
      <c r="I38" s="85">
        <f t="shared" si="21"/>
        <v>1444444.44</v>
      </c>
      <c r="J38" s="85">
        <f>SUM($I$8:I37)</f>
        <v>43333333.199999996</v>
      </c>
      <c r="K38" s="85">
        <f t="shared" si="22"/>
        <v>8666666.8000000045</v>
      </c>
      <c r="L38" s="79">
        <f>ROUND(C38*'Общие данные'!$B$85/H38,2)*G38</f>
        <v>416757.76000000001</v>
      </c>
      <c r="M38" s="79">
        <f t="shared" si="23"/>
        <v>1861202.2</v>
      </c>
      <c r="N38" s="79"/>
      <c r="O38" s="94" t="str">
        <f t="shared" si="24"/>
        <v>Вс</v>
      </c>
      <c r="P38" s="96">
        <f t="shared" si="25"/>
        <v>1</v>
      </c>
      <c r="Q38" s="96">
        <f>DAY('Общие данные'!$B$79)+P38</f>
        <v>6</v>
      </c>
      <c r="R38" s="91">
        <f>IF(A38&lt;='Общие данные'!$B$82,DATE(YEAR($B$8),MONTH($B$8)+A37,DAY('Общие данные'!$B$79)),0)</f>
        <v>47062</v>
      </c>
      <c r="S38" s="77"/>
      <c r="T38" s="77"/>
      <c r="U38" s="77"/>
      <c r="V38" s="77"/>
    </row>
    <row r="39" spans="1:22" x14ac:dyDescent="0.25">
      <c r="A39" s="83">
        <f t="shared" si="26"/>
        <v>32</v>
      </c>
      <c r="B39" s="84">
        <f>IF(A39&lt;='Общие данные'!$B$82,DATE(YEAR(R39),MONTH(R39),DAY(IF(A39='Общие данные'!$B$82,'Общие данные'!$B$67,IF(A39&lt;'Общие данные'!$B$82,(Q39),IF(A39&gt;'Общие данные'!$B$82,$H$56,0))))))</f>
        <v>47092</v>
      </c>
      <c r="C39" s="48">
        <f t="shared" si="15"/>
        <v>7222222.3600000162</v>
      </c>
      <c r="D39" s="48">
        <f t="shared" si="16"/>
        <v>1444444.44</v>
      </c>
      <c r="E39" s="48">
        <f t="shared" si="17"/>
        <v>314739.02999999997</v>
      </c>
      <c r="F39" s="48">
        <f t="shared" si="18"/>
        <v>1759183.47</v>
      </c>
      <c r="G39" s="77">
        <f t="shared" si="19"/>
        <v>29</v>
      </c>
      <c r="H39" s="77">
        <f t="shared" si="20"/>
        <v>366</v>
      </c>
      <c r="I39" s="85">
        <f t="shared" si="21"/>
        <v>1444444.44</v>
      </c>
      <c r="J39" s="85">
        <f>SUM($I$8:I38)</f>
        <v>44777777.639999993</v>
      </c>
      <c r="K39" s="85">
        <f t="shared" si="22"/>
        <v>7222222.3600000069</v>
      </c>
      <c r="L39" s="79">
        <f>ROUND(C39*'Общие данные'!$B$85/H39,2)*G39</f>
        <v>314739.02999999997</v>
      </c>
      <c r="M39" s="79">
        <f t="shared" si="23"/>
        <v>1759183.47</v>
      </c>
      <c r="N39" s="79"/>
      <c r="O39" s="94" t="str">
        <f t="shared" si="24"/>
        <v>Вт</v>
      </c>
      <c r="P39" s="96">
        <f t="shared" si="25"/>
        <v>0</v>
      </c>
      <c r="Q39" s="96">
        <f>DAY('Общие данные'!$B$79)+P39</f>
        <v>5</v>
      </c>
      <c r="R39" s="91">
        <f>IF(A39&lt;='Общие данные'!$B$82,DATE(YEAR($B$8),MONTH($B$8)+A38,DAY('Общие данные'!$B$79)),0)</f>
        <v>47092</v>
      </c>
      <c r="S39" s="77"/>
      <c r="T39" s="77"/>
      <c r="U39" s="77"/>
      <c r="V39" s="77"/>
    </row>
    <row r="40" spans="1:22" x14ac:dyDescent="0.25">
      <c r="A40" s="83">
        <f t="shared" si="26"/>
        <v>33</v>
      </c>
      <c r="B40" s="84">
        <f>IF(A40&lt;='Общие данные'!$B$82,DATE(YEAR(R40),MONTH(R40),DAY(IF(A40='Общие данные'!$B$82,'Общие данные'!$B$67,IF(A40&lt;'Общие данные'!$B$82,(Q40),IF(A40&gt;'Общие данные'!$B$82,$H$56,0))))))</f>
        <v>47123</v>
      </c>
      <c r="C40" s="48">
        <f t="shared" si="15"/>
        <v>5777777.9200000167</v>
      </c>
      <c r="D40" s="48">
        <f t="shared" si="16"/>
        <v>1444444.44</v>
      </c>
      <c r="E40" s="48">
        <f t="shared" si="17"/>
        <v>269893.44</v>
      </c>
      <c r="F40" s="48">
        <f t="shared" si="18"/>
        <v>1714337.88</v>
      </c>
      <c r="G40" s="77">
        <f t="shared" si="19"/>
        <v>31</v>
      </c>
      <c r="H40" s="77">
        <f t="shared" si="20"/>
        <v>365</v>
      </c>
      <c r="I40" s="85">
        <f t="shared" si="21"/>
        <v>1444444.44</v>
      </c>
      <c r="J40" s="85">
        <f>SUM($I$8:I39)</f>
        <v>46222222.079999991</v>
      </c>
      <c r="K40" s="85">
        <f t="shared" si="22"/>
        <v>5777777.9200000092</v>
      </c>
      <c r="L40" s="79">
        <f>ROUND(C40*'Общие данные'!$B$85/H40,2)*G40</f>
        <v>269893.44</v>
      </c>
      <c r="M40" s="79">
        <f t="shared" si="23"/>
        <v>1714337.88</v>
      </c>
      <c r="N40" s="79"/>
      <c r="O40" s="94" t="str">
        <f t="shared" si="24"/>
        <v>Пт</v>
      </c>
      <c r="P40" s="96">
        <f t="shared" si="25"/>
        <v>0</v>
      </c>
      <c r="Q40" s="96">
        <f>DAY('Общие данные'!$B$79)+P40</f>
        <v>5</v>
      </c>
      <c r="R40" s="91">
        <f>IF(A40&lt;='Общие данные'!$B$82,DATE(YEAR($B$8),MONTH($B$8)+A39,DAY('Общие данные'!$B$79)),0)</f>
        <v>47123</v>
      </c>
      <c r="S40" s="77"/>
      <c r="T40" s="77"/>
      <c r="U40" s="77"/>
      <c r="V40" s="77"/>
    </row>
    <row r="41" spans="1:22" x14ac:dyDescent="0.25">
      <c r="A41" s="83">
        <f t="shared" si="26"/>
        <v>34</v>
      </c>
      <c r="B41" s="84">
        <f>IF(A41&lt;='Общие данные'!$B$82,DATE(YEAR(R41),MONTH(R41),DAY(IF(A41='Общие данные'!$B$82,'Общие данные'!$B$67,IF(A41&lt;'Общие данные'!$B$82,(Q41),IF(A41&gt;'Общие данные'!$B$82,$H$56,0))))))</f>
        <v>47154</v>
      </c>
      <c r="C41" s="48">
        <f t="shared" si="15"/>
        <v>4333333.4800000172</v>
      </c>
      <c r="D41" s="48">
        <f t="shared" si="16"/>
        <v>1444444.44</v>
      </c>
      <c r="E41" s="48">
        <f t="shared" si="17"/>
        <v>202420.08000000002</v>
      </c>
      <c r="F41" s="48">
        <f t="shared" si="18"/>
        <v>1646864.52</v>
      </c>
      <c r="G41" s="77">
        <f t="shared" si="19"/>
        <v>31</v>
      </c>
      <c r="H41" s="77">
        <f t="shared" si="20"/>
        <v>365</v>
      </c>
      <c r="I41" s="85">
        <f t="shared" si="21"/>
        <v>1444444.44</v>
      </c>
      <c r="J41" s="85">
        <f>SUM($I$8:I40)</f>
        <v>47666666.519999988</v>
      </c>
      <c r="K41" s="85">
        <f t="shared" si="22"/>
        <v>4333333.4800000116</v>
      </c>
      <c r="L41" s="79">
        <f>ROUND(C41*'Общие данные'!$B$85/H41,2)*G41</f>
        <v>202420.08000000002</v>
      </c>
      <c r="M41" s="79">
        <f t="shared" si="23"/>
        <v>1646864.52</v>
      </c>
      <c r="N41" s="79"/>
      <c r="O41" s="94" t="str">
        <f t="shared" si="24"/>
        <v>Пн</v>
      </c>
      <c r="P41" s="96">
        <f t="shared" si="25"/>
        <v>0</v>
      </c>
      <c r="Q41" s="96">
        <f>DAY('Общие данные'!$B$79)+P41</f>
        <v>5</v>
      </c>
      <c r="R41" s="91">
        <f>IF(A41&lt;='Общие данные'!$B$82,DATE(YEAR($B$8),MONTH($B$8)+A40,DAY('Общие данные'!$B$79)),0)</f>
        <v>47154</v>
      </c>
      <c r="S41" s="77"/>
      <c r="T41" s="77"/>
      <c r="U41" s="77"/>
      <c r="V41" s="77"/>
    </row>
    <row r="42" spans="1:22" x14ac:dyDescent="0.25">
      <c r="A42" s="83">
        <f t="shared" si="26"/>
        <v>35</v>
      </c>
      <c r="B42" s="84">
        <f>IF(A42&lt;='Общие данные'!$B$82,DATE(YEAR(R42),MONTH(R42),DAY(IF(A42='Общие данные'!$B$82,'Общие данные'!$B$67,IF(A42&lt;'Общие данные'!$B$82,(Q42),IF(A42&gt;'Общие данные'!$B$82,$H$56,0))))))</f>
        <v>47182</v>
      </c>
      <c r="C42" s="48">
        <f t="shared" si="15"/>
        <v>2888889.0400000173</v>
      </c>
      <c r="D42" s="48">
        <f t="shared" si="16"/>
        <v>1444444.44</v>
      </c>
      <c r="E42" s="48">
        <f t="shared" si="17"/>
        <v>121887.36</v>
      </c>
      <c r="F42" s="48">
        <f t="shared" si="18"/>
        <v>1566331.8</v>
      </c>
      <c r="G42" s="77">
        <f t="shared" si="19"/>
        <v>28</v>
      </c>
      <c r="H42" s="77">
        <f t="shared" si="20"/>
        <v>365</v>
      </c>
      <c r="I42" s="85">
        <f t="shared" si="21"/>
        <v>1444444.44</v>
      </c>
      <c r="J42" s="85">
        <f>SUM($I$8:I41)</f>
        <v>49111110.959999986</v>
      </c>
      <c r="K42" s="85">
        <f t="shared" si="22"/>
        <v>2888889.040000014</v>
      </c>
      <c r="L42" s="79">
        <f>ROUND(C42*'Общие данные'!$B$85/H42,2)*G42</f>
        <v>121887.36</v>
      </c>
      <c r="M42" s="79">
        <f t="shared" si="23"/>
        <v>1566331.8</v>
      </c>
      <c r="N42" s="79"/>
      <c r="O42" s="94" t="str">
        <f t="shared" si="24"/>
        <v>Пн</v>
      </c>
      <c r="P42" s="96">
        <f t="shared" si="25"/>
        <v>0</v>
      </c>
      <c r="Q42" s="96">
        <f>DAY('Общие данные'!$B$79)+P42</f>
        <v>5</v>
      </c>
      <c r="R42" s="91">
        <f>IF(A42&lt;='Общие данные'!$B$82,DATE(YEAR($B$8),MONTH($B$8)+A41,DAY('Общие данные'!$B$79)),0)</f>
        <v>47182</v>
      </c>
      <c r="S42" s="77"/>
      <c r="T42" s="77"/>
      <c r="U42" s="77"/>
      <c r="V42" s="77"/>
    </row>
    <row r="43" spans="1:22" x14ac:dyDescent="0.25">
      <c r="A43" s="83">
        <f t="shared" ref="A43:A55" si="27">1+A42</f>
        <v>36</v>
      </c>
      <c r="B43" s="84">
        <f>IF(A43&lt;='Общие данные'!$B$82,DATE(YEAR(R43),MONTH(R43),DAY(IF(A43='Общие данные'!$B$82,'Общие данные'!$B$67,IF(A43&lt;'Общие данные'!$B$82,(Q43),IF(A43&gt;'Общие данные'!$B$82,$H$56,0))))))</f>
        <v>47215</v>
      </c>
      <c r="C43" s="48">
        <f t="shared" ref="C43" si="28">C42-D42</f>
        <v>1444444.6000000173</v>
      </c>
      <c r="D43" s="48">
        <f t="shared" ref="D43" si="29">IF(C43=0,L43,IF(C43&gt;1,I43))</f>
        <v>1444444.6000000164</v>
      </c>
      <c r="E43" s="48">
        <f t="shared" ref="E43" si="30">IF(C43=0,N42,IF(C43&gt;1,L43))</f>
        <v>71826.48</v>
      </c>
      <c r="F43" s="48">
        <f t="shared" ref="F43" si="31">IF(C43=0,N42,IF(C43&gt;1,M43))</f>
        <v>1516271.0800000164</v>
      </c>
      <c r="G43" s="77">
        <f t="shared" ref="G43" si="32">B43-B42</f>
        <v>33</v>
      </c>
      <c r="H43" s="77">
        <f t="shared" ref="H43" si="33">DATE(YEAR(B43),12,31)-DATE(YEAR(B43),1,1)+1</f>
        <v>365</v>
      </c>
      <c r="I43" s="85">
        <f t="shared" ref="I43" si="34">IF($L$5=A43,K43,IF($L$5&gt;A43,I42))</f>
        <v>1444444.6000000164</v>
      </c>
      <c r="J43" s="85">
        <f>SUM($I$8:I42)</f>
        <v>50555555.399999984</v>
      </c>
      <c r="K43" s="85">
        <f t="shared" ref="K43" si="35">$J$12-J43</f>
        <v>1444444.6000000164</v>
      </c>
      <c r="L43" s="79">
        <f>ROUND(C43*'Общие данные'!$B$85/H43,2)*G43</f>
        <v>71826.48</v>
      </c>
      <c r="M43" s="79">
        <f t="shared" ref="M43" si="36">D43+E43</f>
        <v>1516271.0800000164</v>
      </c>
      <c r="N43" s="79"/>
      <c r="O43" s="94" t="str">
        <f t="shared" ref="O43" si="37">TEXT(R43,"ддд")</f>
        <v>Чт</v>
      </c>
      <c r="P43" s="96">
        <f t="shared" ref="P43" si="38">IF(O43=$U$8,2,IF(O43=$V$8,1,0))</f>
        <v>0</v>
      </c>
      <c r="Q43" s="96">
        <f>DAY('Общие данные'!$B$79)+P43</f>
        <v>5</v>
      </c>
      <c r="R43" s="91">
        <f>IF(A43&lt;='Общие данные'!$B$82,DATE(YEAR($B$8),MONTH($B$8)+A42,DAY('Общие данные'!$B$79)),0)</f>
        <v>47213</v>
      </c>
      <c r="S43" s="77"/>
      <c r="T43" s="77"/>
      <c r="U43" s="77"/>
      <c r="V43" s="77"/>
    </row>
    <row r="44" spans="1:22" x14ac:dyDescent="0.25">
      <c r="A44" s="83">
        <f t="shared" si="27"/>
        <v>37</v>
      </c>
      <c r="B44" s="84" t="b">
        <f>IF(A44&lt;='Общие данные'!$B$82,DATE(YEAR(R44),MONTH(R44),DAY(IF(A44='Общие данные'!$B$82,'Общие данные'!$B$67,IF(A44&lt;'Общие данные'!$B$82,(Q44),IF(A44&gt;'Общие данные'!$B$82,$H$56,0))))))</f>
        <v>0</v>
      </c>
      <c r="C44" s="48">
        <f t="shared" ref="C44:C55" si="39">C43-D43</f>
        <v>0</v>
      </c>
      <c r="D44" s="48">
        <f t="shared" ref="D44:D55" si="40">IF(C44=0,L44,IF(C44&gt;1,I44))</f>
        <v>0</v>
      </c>
      <c r="E44" s="48">
        <f t="shared" ref="E44:E55" si="41">IF(C44=0,N43,IF(C44&gt;1,L44))</f>
        <v>0</v>
      </c>
      <c r="F44" s="48">
        <f t="shared" ref="F44:F55" si="42">IF(C44=0,N43,IF(C44&gt;1,M44))</f>
        <v>0</v>
      </c>
      <c r="G44" s="77">
        <f t="shared" ref="G44:G55" si="43">B44-B43</f>
        <v>-47215</v>
      </c>
      <c r="H44" s="77">
        <f t="shared" ref="H44:H55" si="44">DATE(YEAR(B44),12,31)-DATE(YEAR(B44),1,1)+1</f>
        <v>366</v>
      </c>
      <c r="I44" s="85" t="b">
        <f t="shared" ref="I44:I55" si="45">IF($L$5=A44,K44,IF($L$5&gt;A44,I43))</f>
        <v>0</v>
      </c>
      <c r="J44" s="85">
        <f>SUM($I$8:I43)</f>
        <v>52000000</v>
      </c>
      <c r="K44" s="85">
        <f t="shared" ref="K44:K55" si="46">$J$12-J44</f>
        <v>0</v>
      </c>
      <c r="L44" s="79">
        <f>ROUND(C44*'Общие данные'!$B$85/H44,2)*G44</f>
        <v>0</v>
      </c>
      <c r="M44" s="79">
        <f t="shared" ref="M44:M55" si="47">D44+E44</f>
        <v>0</v>
      </c>
      <c r="N44" s="79"/>
      <c r="O44" s="94" t="str">
        <f t="shared" ref="O44:O55" si="48">TEXT(R44,"ддд")</f>
        <v>Сб</v>
      </c>
      <c r="P44" s="96">
        <f t="shared" ref="P44:P55" si="49">IF(O44=$U$8,2,IF(O44=$V$8,1,0))</f>
        <v>2</v>
      </c>
      <c r="Q44" s="96">
        <f>DAY('Общие данные'!$B$79)+P44</f>
        <v>7</v>
      </c>
      <c r="R44" s="91">
        <f>IF(A44&lt;='Общие данные'!$B$82,DATE(YEAR($B$8),MONTH($B$8)+A43,DAY('Общие данные'!$B$79)),0)</f>
        <v>0</v>
      </c>
      <c r="S44" s="77"/>
      <c r="T44" s="77"/>
      <c r="U44" s="77"/>
      <c r="V44" s="77"/>
    </row>
    <row r="45" spans="1:22" x14ac:dyDescent="0.25">
      <c r="A45" s="83">
        <f t="shared" si="27"/>
        <v>38</v>
      </c>
      <c r="B45" s="84" t="b">
        <f>IF(A45&lt;='Общие данные'!$B$82,DATE(YEAR(R45),MONTH(R45),DAY(IF(A45='Общие данные'!$B$82,'Общие данные'!$B$67,IF(A45&lt;'Общие данные'!$B$82,(Q45),IF(A45&gt;'Общие данные'!$B$82,$H$56,0))))))</f>
        <v>0</v>
      </c>
      <c r="C45" s="48">
        <f t="shared" si="39"/>
        <v>0</v>
      </c>
      <c r="D45" s="48">
        <f t="shared" si="40"/>
        <v>0</v>
      </c>
      <c r="E45" s="48">
        <f t="shared" si="41"/>
        <v>0</v>
      </c>
      <c r="F45" s="48">
        <f t="shared" si="42"/>
        <v>0</v>
      </c>
      <c r="G45" s="77">
        <f t="shared" si="43"/>
        <v>0</v>
      </c>
      <c r="H45" s="77">
        <f t="shared" si="44"/>
        <v>366</v>
      </c>
      <c r="I45" s="85" t="b">
        <f t="shared" si="45"/>
        <v>0</v>
      </c>
      <c r="J45" s="85">
        <f>SUM($I$8:I44)</f>
        <v>52000000</v>
      </c>
      <c r="K45" s="85">
        <f t="shared" si="46"/>
        <v>0</v>
      </c>
      <c r="L45" s="79">
        <f>ROUND(C45*'Общие данные'!$B$85/H45,2)*G45</f>
        <v>0</v>
      </c>
      <c r="M45" s="79">
        <f t="shared" si="47"/>
        <v>0</v>
      </c>
      <c r="N45" s="79"/>
      <c r="O45" s="94" t="str">
        <f t="shared" si="48"/>
        <v>Сб</v>
      </c>
      <c r="P45" s="96">
        <f t="shared" si="49"/>
        <v>2</v>
      </c>
      <c r="Q45" s="96">
        <f>DAY('Общие данные'!$B$79)+P45</f>
        <v>7</v>
      </c>
      <c r="R45" s="91">
        <f>IF(A45&lt;='Общие данные'!$B$82,DATE(YEAR($B$8),MONTH($B$8)+A44,DAY('Общие данные'!$B$79)),0)</f>
        <v>0</v>
      </c>
      <c r="S45" s="77"/>
      <c r="T45" s="77"/>
      <c r="U45" s="77"/>
      <c r="V45" s="77"/>
    </row>
    <row r="46" spans="1:22" x14ac:dyDescent="0.25">
      <c r="A46" s="83">
        <f t="shared" si="27"/>
        <v>39</v>
      </c>
      <c r="B46" s="84" t="b">
        <f>IF(A46&lt;='Общие данные'!$B$82,DATE(YEAR(R46),MONTH(R46),DAY(IF(A46='Общие данные'!$B$82,'Общие данные'!$B$67,IF(A46&lt;'Общие данные'!$B$82,(Q46),IF(A46&gt;'Общие данные'!$B$82,$H$56,0))))))</f>
        <v>0</v>
      </c>
      <c r="C46" s="48">
        <f t="shared" si="39"/>
        <v>0</v>
      </c>
      <c r="D46" s="48">
        <f t="shared" si="40"/>
        <v>0</v>
      </c>
      <c r="E46" s="48">
        <f t="shared" si="41"/>
        <v>0</v>
      </c>
      <c r="F46" s="48">
        <f t="shared" si="42"/>
        <v>0</v>
      </c>
      <c r="G46" s="77">
        <f t="shared" si="43"/>
        <v>0</v>
      </c>
      <c r="H46" s="77">
        <f t="shared" si="44"/>
        <v>366</v>
      </c>
      <c r="I46" s="85" t="b">
        <f t="shared" si="45"/>
        <v>0</v>
      </c>
      <c r="J46" s="85">
        <f>SUM($I$8:I45)</f>
        <v>52000000</v>
      </c>
      <c r="K46" s="85">
        <f t="shared" si="46"/>
        <v>0</v>
      </c>
      <c r="L46" s="79">
        <f>ROUND(C46*'Общие данные'!$B$85/H46,2)*G46</f>
        <v>0</v>
      </c>
      <c r="M46" s="79">
        <f t="shared" si="47"/>
        <v>0</v>
      </c>
      <c r="N46" s="79"/>
      <c r="O46" s="94" t="str">
        <f t="shared" si="48"/>
        <v>Сб</v>
      </c>
      <c r="P46" s="96">
        <f t="shared" si="49"/>
        <v>2</v>
      </c>
      <c r="Q46" s="96">
        <f>DAY('Общие данные'!$B$79)+P46</f>
        <v>7</v>
      </c>
      <c r="R46" s="91">
        <f>IF(A46&lt;='Общие данные'!$B$82,DATE(YEAR($B$8),MONTH($B$8)+A45,DAY('Общие данные'!$B$79)),0)</f>
        <v>0</v>
      </c>
      <c r="S46" s="77"/>
      <c r="T46" s="77"/>
      <c r="U46" s="77"/>
      <c r="V46" s="77"/>
    </row>
    <row r="47" spans="1:22" x14ac:dyDescent="0.25">
      <c r="A47" s="83">
        <f t="shared" si="27"/>
        <v>40</v>
      </c>
      <c r="B47" s="84" t="b">
        <f>IF(A47&lt;='Общие данные'!$B$82,DATE(YEAR(R47),MONTH(R47),DAY(IF(A47='Общие данные'!$B$82,'Общие данные'!$B$67,IF(A47&lt;'Общие данные'!$B$82,(Q47),IF(A47&gt;'Общие данные'!$B$82,$H$56,0))))))</f>
        <v>0</v>
      </c>
      <c r="C47" s="48">
        <f t="shared" si="39"/>
        <v>0</v>
      </c>
      <c r="D47" s="48">
        <f t="shared" si="40"/>
        <v>0</v>
      </c>
      <c r="E47" s="48">
        <f t="shared" si="41"/>
        <v>0</v>
      </c>
      <c r="F47" s="48">
        <f t="shared" si="42"/>
        <v>0</v>
      </c>
      <c r="G47" s="77">
        <f t="shared" si="43"/>
        <v>0</v>
      </c>
      <c r="H47" s="77">
        <f t="shared" si="44"/>
        <v>366</v>
      </c>
      <c r="I47" s="85" t="b">
        <f t="shared" si="45"/>
        <v>0</v>
      </c>
      <c r="J47" s="85">
        <f>SUM($I$8:I46)</f>
        <v>52000000</v>
      </c>
      <c r="K47" s="85">
        <f t="shared" si="46"/>
        <v>0</v>
      </c>
      <c r="L47" s="79">
        <f>ROUND(C47*'Общие данные'!$B$85/H47,2)*G47</f>
        <v>0</v>
      </c>
      <c r="M47" s="79">
        <f t="shared" si="47"/>
        <v>0</v>
      </c>
      <c r="N47" s="79"/>
      <c r="O47" s="94" t="str">
        <f t="shared" si="48"/>
        <v>Сб</v>
      </c>
      <c r="P47" s="96">
        <f t="shared" si="49"/>
        <v>2</v>
      </c>
      <c r="Q47" s="96">
        <f>DAY('Общие данные'!$B$79)+P47</f>
        <v>7</v>
      </c>
      <c r="R47" s="91">
        <f>IF(A47&lt;='Общие данные'!$B$82,DATE(YEAR($B$8),MONTH($B$8)+A46,DAY('Общие данные'!$B$79)),0)</f>
        <v>0</v>
      </c>
      <c r="S47" s="77"/>
      <c r="T47" s="77"/>
      <c r="U47" s="77"/>
      <c r="V47" s="77"/>
    </row>
    <row r="48" spans="1:22" x14ac:dyDescent="0.25">
      <c r="A48" s="83">
        <f t="shared" si="27"/>
        <v>41</v>
      </c>
      <c r="B48" s="84" t="b">
        <f>IF(A48&lt;='Общие данные'!$B$82,DATE(YEAR(R48),MONTH(R48),DAY(IF(A48='Общие данные'!$B$82,'Общие данные'!$B$67,IF(A48&lt;'Общие данные'!$B$82,(Q48),IF(A48&gt;'Общие данные'!$B$82,$H$56,0))))))</f>
        <v>0</v>
      </c>
      <c r="C48" s="48">
        <f t="shared" si="39"/>
        <v>0</v>
      </c>
      <c r="D48" s="48">
        <f t="shared" si="40"/>
        <v>0</v>
      </c>
      <c r="E48" s="48">
        <f t="shared" si="41"/>
        <v>0</v>
      </c>
      <c r="F48" s="48">
        <f t="shared" si="42"/>
        <v>0</v>
      </c>
      <c r="G48" s="77">
        <f t="shared" si="43"/>
        <v>0</v>
      </c>
      <c r="H48" s="77">
        <f t="shared" si="44"/>
        <v>366</v>
      </c>
      <c r="I48" s="85" t="b">
        <f t="shared" si="45"/>
        <v>0</v>
      </c>
      <c r="J48" s="85">
        <f>SUM($I$8:I47)</f>
        <v>52000000</v>
      </c>
      <c r="K48" s="85">
        <f t="shared" si="46"/>
        <v>0</v>
      </c>
      <c r="L48" s="79">
        <f>ROUND(C48*'Общие данные'!$B$85/H48,2)*G48</f>
        <v>0</v>
      </c>
      <c r="M48" s="79">
        <f t="shared" si="47"/>
        <v>0</v>
      </c>
      <c r="N48" s="79"/>
      <c r="O48" s="94" t="str">
        <f t="shared" si="48"/>
        <v>Сб</v>
      </c>
      <c r="P48" s="96">
        <f t="shared" si="49"/>
        <v>2</v>
      </c>
      <c r="Q48" s="96">
        <f>DAY('Общие данные'!$B$79)+P48</f>
        <v>7</v>
      </c>
      <c r="R48" s="91">
        <f>IF(A48&lt;='Общие данные'!$B$82,DATE(YEAR($B$8),MONTH($B$8)+A47,DAY('Общие данные'!$B$79)),0)</f>
        <v>0</v>
      </c>
      <c r="S48" s="77"/>
      <c r="T48" s="77"/>
      <c r="U48" s="77"/>
      <c r="V48" s="77"/>
    </row>
    <row r="49" spans="1:22" x14ac:dyDescent="0.25">
      <c r="A49" s="83">
        <f t="shared" si="27"/>
        <v>42</v>
      </c>
      <c r="B49" s="84" t="b">
        <f>IF(A49&lt;='Общие данные'!$B$82,DATE(YEAR(R49),MONTH(R49),DAY(IF(A49='Общие данные'!$B$82,'Общие данные'!$B$67,IF(A49&lt;'Общие данные'!$B$82,(Q49),IF(A49&gt;'Общие данные'!$B$82,$H$56,0))))))</f>
        <v>0</v>
      </c>
      <c r="C49" s="48">
        <f t="shared" si="39"/>
        <v>0</v>
      </c>
      <c r="D49" s="48">
        <f t="shared" si="40"/>
        <v>0</v>
      </c>
      <c r="E49" s="48">
        <f t="shared" si="41"/>
        <v>0</v>
      </c>
      <c r="F49" s="48">
        <f t="shared" si="42"/>
        <v>0</v>
      </c>
      <c r="G49" s="77">
        <f t="shared" si="43"/>
        <v>0</v>
      </c>
      <c r="H49" s="77">
        <f t="shared" si="44"/>
        <v>366</v>
      </c>
      <c r="I49" s="85" t="b">
        <f t="shared" si="45"/>
        <v>0</v>
      </c>
      <c r="J49" s="85">
        <f>SUM($I$8:I48)</f>
        <v>52000000</v>
      </c>
      <c r="K49" s="85">
        <f t="shared" si="46"/>
        <v>0</v>
      </c>
      <c r="L49" s="79">
        <f>ROUND(C49*'Общие данные'!$B$85/H49,2)*G49</f>
        <v>0</v>
      </c>
      <c r="M49" s="79">
        <f t="shared" si="47"/>
        <v>0</v>
      </c>
      <c r="N49" s="79"/>
      <c r="O49" s="94" t="str">
        <f t="shared" si="48"/>
        <v>Сб</v>
      </c>
      <c r="P49" s="96">
        <f t="shared" si="49"/>
        <v>2</v>
      </c>
      <c r="Q49" s="96">
        <f>DAY('Общие данные'!$B$79)+P49</f>
        <v>7</v>
      </c>
      <c r="R49" s="91">
        <f>IF(A49&lt;='Общие данные'!$B$82,DATE(YEAR($B$8),MONTH($B$8)+A48,DAY('Общие данные'!$B$79)),0)</f>
        <v>0</v>
      </c>
      <c r="S49" s="77"/>
      <c r="T49" s="77"/>
      <c r="U49" s="77"/>
      <c r="V49" s="77"/>
    </row>
    <row r="50" spans="1:22" x14ac:dyDescent="0.25">
      <c r="A50" s="83">
        <f t="shared" si="27"/>
        <v>43</v>
      </c>
      <c r="B50" s="84" t="b">
        <f>IF(A50&lt;='Общие данные'!$B$82,DATE(YEAR(R50),MONTH(R50),DAY(IF(A50='Общие данные'!$B$82,'Общие данные'!$B$67,IF(A50&lt;'Общие данные'!$B$82,(Q50),IF(A50&gt;'Общие данные'!$B$82,$H$56,0))))))</f>
        <v>0</v>
      </c>
      <c r="C50" s="48">
        <f t="shared" si="39"/>
        <v>0</v>
      </c>
      <c r="D50" s="48">
        <f t="shared" si="40"/>
        <v>0</v>
      </c>
      <c r="E50" s="48">
        <f t="shared" si="41"/>
        <v>0</v>
      </c>
      <c r="F50" s="48">
        <f t="shared" si="42"/>
        <v>0</v>
      </c>
      <c r="G50" s="77">
        <f t="shared" si="43"/>
        <v>0</v>
      </c>
      <c r="H50" s="77">
        <f t="shared" si="44"/>
        <v>366</v>
      </c>
      <c r="I50" s="85" t="b">
        <f t="shared" si="45"/>
        <v>0</v>
      </c>
      <c r="J50" s="85">
        <f>SUM($I$8:I49)</f>
        <v>52000000</v>
      </c>
      <c r="K50" s="85">
        <f t="shared" si="46"/>
        <v>0</v>
      </c>
      <c r="L50" s="79">
        <f>ROUND(C50*'Общие данные'!$B$85/H50,2)*G50</f>
        <v>0</v>
      </c>
      <c r="M50" s="79">
        <f t="shared" si="47"/>
        <v>0</v>
      </c>
      <c r="N50" s="79"/>
      <c r="O50" s="94" t="str">
        <f t="shared" si="48"/>
        <v>Сб</v>
      </c>
      <c r="P50" s="96">
        <f t="shared" si="49"/>
        <v>2</v>
      </c>
      <c r="Q50" s="96">
        <f>DAY('Общие данные'!$B$79)+P50</f>
        <v>7</v>
      </c>
      <c r="R50" s="91">
        <f>IF(A50&lt;='Общие данные'!$B$82,DATE(YEAR($B$8),MONTH($B$8)+A49,DAY('Общие данные'!$B$79)),0)</f>
        <v>0</v>
      </c>
      <c r="S50" s="77"/>
      <c r="T50" s="77"/>
      <c r="U50" s="77"/>
      <c r="V50" s="77"/>
    </row>
    <row r="51" spans="1:22" x14ac:dyDescent="0.25">
      <c r="A51" s="83">
        <f t="shared" si="27"/>
        <v>44</v>
      </c>
      <c r="B51" s="84" t="b">
        <f>IF(A51&lt;='Общие данные'!$B$82,DATE(YEAR(R51),MONTH(R51),DAY(IF(A51='Общие данные'!$B$82,'Общие данные'!$B$67,IF(A51&lt;'Общие данные'!$B$82,(Q51),IF(A51&gt;'Общие данные'!$B$82,$H$56,0))))))</f>
        <v>0</v>
      </c>
      <c r="C51" s="48">
        <f t="shared" si="39"/>
        <v>0</v>
      </c>
      <c r="D51" s="48">
        <f t="shared" si="40"/>
        <v>0</v>
      </c>
      <c r="E51" s="48">
        <f t="shared" si="41"/>
        <v>0</v>
      </c>
      <c r="F51" s="48">
        <f t="shared" si="42"/>
        <v>0</v>
      </c>
      <c r="G51" s="77">
        <f t="shared" si="43"/>
        <v>0</v>
      </c>
      <c r="H51" s="77">
        <f t="shared" si="44"/>
        <v>366</v>
      </c>
      <c r="I51" s="85" t="b">
        <f t="shared" si="45"/>
        <v>0</v>
      </c>
      <c r="J51" s="85">
        <f>SUM($I$8:I50)</f>
        <v>52000000</v>
      </c>
      <c r="K51" s="85">
        <f t="shared" si="46"/>
        <v>0</v>
      </c>
      <c r="L51" s="79">
        <f>ROUND(C51*'Общие данные'!$B$85/H51,2)*G51</f>
        <v>0</v>
      </c>
      <c r="M51" s="79">
        <f t="shared" si="47"/>
        <v>0</v>
      </c>
      <c r="N51" s="79"/>
      <c r="O51" s="94" t="str">
        <f t="shared" si="48"/>
        <v>Сб</v>
      </c>
      <c r="P51" s="96">
        <f t="shared" si="49"/>
        <v>2</v>
      </c>
      <c r="Q51" s="96">
        <f>DAY('Общие данные'!$B$79)+P51</f>
        <v>7</v>
      </c>
      <c r="R51" s="91">
        <f>IF(A51&lt;='Общие данные'!$B$82,DATE(YEAR($B$8),MONTH($B$8)+A50,DAY('Общие данные'!$B$79)),0)</f>
        <v>0</v>
      </c>
      <c r="S51" s="77"/>
      <c r="T51" s="77"/>
      <c r="U51" s="77"/>
      <c r="V51" s="77"/>
    </row>
    <row r="52" spans="1:22" x14ac:dyDescent="0.25">
      <c r="A52" s="83">
        <f t="shared" si="27"/>
        <v>45</v>
      </c>
      <c r="B52" s="84" t="b">
        <f>IF(A52&lt;='Общие данные'!$B$82,DATE(YEAR(R52),MONTH(R52),DAY(IF(A52='Общие данные'!$B$82,'Общие данные'!$B$67,IF(A52&lt;'Общие данные'!$B$82,(Q52),IF(A52&gt;'Общие данные'!$B$82,$H$56,0))))))</f>
        <v>0</v>
      </c>
      <c r="C52" s="48">
        <f t="shared" si="39"/>
        <v>0</v>
      </c>
      <c r="D52" s="48">
        <f t="shared" si="40"/>
        <v>0</v>
      </c>
      <c r="E52" s="48">
        <f t="shared" si="41"/>
        <v>0</v>
      </c>
      <c r="F52" s="48">
        <f t="shared" si="42"/>
        <v>0</v>
      </c>
      <c r="G52" s="77">
        <f t="shared" si="43"/>
        <v>0</v>
      </c>
      <c r="H52" s="77">
        <f t="shared" si="44"/>
        <v>366</v>
      </c>
      <c r="I52" s="85" t="b">
        <f t="shared" si="45"/>
        <v>0</v>
      </c>
      <c r="J52" s="85">
        <f>SUM($I$8:I51)</f>
        <v>52000000</v>
      </c>
      <c r="K52" s="85">
        <f t="shared" si="46"/>
        <v>0</v>
      </c>
      <c r="L52" s="79">
        <f>ROUND(C52*'Общие данные'!$B$85/H52,2)*G52</f>
        <v>0</v>
      </c>
      <c r="M52" s="79">
        <f t="shared" si="47"/>
        <v>0</v>
      </c>
      <c r="N52" s="79"/>
      <c r="O52" s="94" t="str">
        <f t="shared" si="48"/>
        <v>Сб</v>
      </c>
      <c r="P52" s="96">
        <f t="shared" si="49"/>
        <v>2</v>
      </c>
      <c r="Q52" s="96">
        <f>DAY('Общие данные'!$B$79)+P52</f>
        <v>7</v>
      </c>
      <c r="R52" s="91">
        <f>IF(A52&lt;='Общие данные'!$B$82,DATE(YEAR($B$8),MONTH($B$8)+A51,DAY('Общие данные'!$B$79)),0)</f>
        <v>0</v>
      </c>
      <c r="S52" s="77"/>
      <c r="T52" s="77"/>
      <c r="U52" s="77"/>
      <c r="V52" s="77"/>
    </row>
    <row r="53" spans="1:22" x14ac:dyDescent="0.25">
      <c r="A53" s="83">
        <f t="shared" si="27"/>
        <v>46</v>
      </c>
      <c r="B53" s="84" t="b">
        <f>IF(A53&lt;='Общие данные'!$B$82,DATE(YEAR(R53),MONTH(R53),DAY(IF(A53='Общие данные'!$B$82,'Общие данные'!$B$67,IF(A53&lt;'Общие данные'!$B$82,(Q53),IF(A53&gt;'Общие данные'!$B$82,$H$56,0))))))</f>
        <v>0</v>
      </c>
      <c r="C53" s="48">
        <f t="shared" si="39"/>
        <v>0</v>
      </c>
      <c r="D53" s="48">
        <f t="shared" si="40"/>
        <v>0</v>
      </c>
      <c r="E53" s="48">
        <f t="shared" si="41"/>
        <v>0</v>
      </c>
      <c r="F53" s="48">
        <f t="shared" si="42"/>
        <v>0</v>
      </c>
      <c r="G53" s="77">
        <f t="shared" si="43"/>
        <v>0</v>
      </c>
      <c r="H53" s="77">
        <f t="shared" si="44"/>
        <v>366</v>
      </c>
      <c r="I53" s="85" t="b">
        <f t="shared" si="45"/>
        <v>0</v>
      </c>
      <c r="J53" s="85">
        <f>SUM($I$8:I52)</f>
        <v>52000000</v>
      </c>
      <c r="K53" s="85">
        <f t="shared" si="46"/>
        <v>0</v>
      </c>
      <c r="L53" s="79">
        <f>ROUND(C53*'Общие данные'!$B$85/H53,2)*G53</f>
        <v>0</v>
      </c>
      <c r="M53" s="79">
        <f t="shared" si="47"/>
        <v>0</v>
      </c>
      <c r="N53" s="79"/>
      <c r="O53" s="94" t="str">
        <f t="shared" si="48"/>
        <v>Сб</v>
      </c>
      <c r="P53" s="96">
        <f t="shared" si="49"/>
        <v>2</v>
      </c>
      <c r="Q53" s="96">
        <f>DAY('Общие данные'!$B$79)+P53</f>
        <v>7</v>
      </c>
      <c r="R53" s="91">
        <f>IF(A53&lt;='Общие данные'!$B$82,DATE(YEAR($B$8),MONTH($B$8)+A52,DAY('Общие данные'!$B$79)),0)</f>
        <v>0</v>
      </c>
      <c r="S53" s="77"/>
      <c r="T53" s="77"/>
      <c r="U53" s="77"/>
      <c r="V53" s="77"/>
    </row>
    <row r="54" spans="1:22" x14ac:dyDescent="0.25">
      <c r="A54" s="83">
        <f t="shared" si="27"/>
        <v>47</v>
      </c>
      <c r="B54" s="84" t="b">
        <f>IF(A54&lt;='Общие данные'!$B$82,DATE(YEAR(R54),MONTH(R54),DAY(IF(A54='Общие данные'!$B$82,'Общие данные'!$B$67,IF(A54&lt;'Общие данные'!$B$82,(Q54),IF(A54&gt;'Общие данные'!$B$82,$H$56,0))))))</f>
        <v>0</v>
      </c>
      <c r="C54" s="48">
        <f t="shared" si="39"/>
        <v>0</v>
      </c>
      <c r="D54" s="48">
        <f t="shared" si="40"/>
        <v>0</v>
      </c>
      <c r="E54" s="48">
        <f t="shared" si="41"/>
        <v>0</v>
      </c>
      <c r="F54" s="48">
        <f t="shared" si="42"/>
        <v>0</v>
      </c>
      <c r="G54" s="77">
        <f t="shared" si="43"/>
        <v>0</v>
      </c>
      <c r="H54" s="77">
        <f t="shared" si="44"/>
        <v>366</v>
      </c>
      <c r="I54" s="85" t="b">
        <f t="shared" si="45"/>
        <v>0</v>
      </c>
      <c r="J54" s="85">
        <f>SUM($I$8:I53)</f>
        <v>52000000</v>
      </c>
      <c r="K54" s="85">
        <f t="shared" si="46"/>
        <v>0</v>
      </c>
      <c r="L54" s="79">
        <f>ROUND(C54*'Общие данные'!$B$85/H54,2)*G54</f>
        <v>0</v>
      </c>
      <c r="M54" s="79">
        <f t="shared" si="47"/>
        <v>0</v>
      </c>
      <c r="N54" s="79"/>
      <c r="O54" s="94" t="str">
        <f t="shared" si="48"/>
        <v>Сб</v>
      </c>
      <c r="P54" s="96">
        <f t="shared" si="49"/>
        <v>2</v>
      </c>
      <c r="Q54" s="96">
        <f>DAY('Общие данные'!$B$79)+P54</f>
        <v>7</v>
      </c>
      <c r="R54" s="91">
        <f>IF(A54&lt;='Общие данные'!$B$82,DATE(YEAR($B$8),MONTH($B$8)+A53,DAY('Общие данные'!$B$79)),0)</f>
        <v>0</v>
      </c>
      <c r="S54" s="77"/>
      <c r="T54" s="77"/>
      <c r="U54" s="77"/>
      <c r="V54" s="77"/>
    </row>
    <row r="55" spans="1:22" x14ac:dyDescent="0.25">
      <c r="A55" s="83">
        <f t="shared" si="27"/>
        <v>48</v>
      </c>
      <c r="B55" s="84" t="b">
        <f>IF(A55&lt;='Общие данные'!$B$82,DATE(YEAR(R55),MONTH(R55),DAY(IF(A55='Общие данные'!$B$82,'Общие данные'!$B$67,IF(A55&lt;'Общие данные'!$B$82,(Q55),IF(A55&gt;'Общие данные'!$B$82,$H$56,0))))))</f>
        <v>0</v>
      </c>
      <c r="C55" s="48">
        <f t="shared" si="39"/>
        <v>0</v>
      </c>
      <c r="D55" s="48">
        <f t="shared" si="40"/>
        <v>0</v>
      </c>
      <c r="E55" s="48">
        <f t="shared" si="41"/>
        <v>0</v>
      </c>
      <c r="F55" s="48">
        <f t="shared" si="42"/>
        <v>0</v>
      </c>
      <c r="G55" s="77">
        <f t="shared" si="43"/>
        <v>0</v>
      </c>
      <c r="H55" s="77">
        <f t="shared" si="44"/>
        <v>366</v>
      </c>
      <c r="I55" s="85" t="b">
        <f t="shared" si="45"/>
        <v>0</v>
      </c>
      <c r="J55" s="85">
        <f>SUM($I$8:I54)</f>
        <v>52000000</v>
      </c>
      <c r="K55" s="85">
        <f t="shared" si="46"/>
        <v>0</v>
      </c>
      <c r="L55" s="79">
        <f>ROUND(C55*'Общие данные'!$B$85/H55,2)*G55</f>
        <v>0</v>
      </c>
      <c r="M55" s="79">
        <f t="shared" si="47"/>
        <v>0</v>
      </c>
      <c r="N55" s="79"/>
      <c r="O55" s="94" t="str">
        <f t="shared" si="48"/>
        <v>Сб</v>
      </c>
      <c r="P55" s="96">
        <f t="shared" si="49"/>
        <v>2</v>
      </c>
      <c r="Q55" s="96">
        <f>DAY('Общие данные'!$B$79)+P55</f>
        <v>7</v>
      </c>
      <c r="R55" s="91">
        <f>IF(A55&lt;='Общие данные'!$B$82,DATE(YEAR($B$8),MONTH($B$8)+A54,DAY('Общие данные'!$B$79)),0)</f>
        <v>0</v>
      </c>
      <c r="S55" s="77"/>
      <c r="T55" s="77"/>
      <c r="U55" s="77"/>
      <c r="V55" s="77"/>
    </row>
    <row r="56" spans="1:22" x14ac:dyDescent="0.25">
      <c r="A56" s="86"/>
      <c r="B56" s="87" t="s">
        <v>6</v>
      </c>
      <c r="C56" s="88"/>
      <c r="D56" s="88">
        <f>SUM(D8:D55)</f>
        <v>52000000</v>
      </c>
      <c r="E56" s="88">
        <f t="shared" ref="E56:F56" si="50">SUM(E8:E55)</f>
        <v>44015538.949999981</v>
      </c>
      <c r="F56" s="88">
        <f t="shared" si="50"/>
        <v>96015538.949999988</v>
      </c>
    </row>
    <row r="57" spans="1:22" ht="9" customHeight="1" x14ac:dyDescent="0.25">
      <c r="B57" s="89"/>
      <c r="C57" s="90"/>
      <c r="D57" s="90"/>
      <c r="E57" s="90"/>
      <c r="F57" s="90"/>
    </row>
    <row r="58" spans="1:22" ht="47.25" customHeight="1" x14ac:dyDescent="0.25">
      <c r="A58" s="352" t="s">
        <v>16</v>
      </c>
      <c r="B58" s="352"/>
      <c r="C58" s="352"/>
      <c r="D58" s="352"/>
      <c r="E58" s="352"/>
      <c r="F58" s="352"/>
    </row>
    <row r="59" spans="1:22" ht="7.5" customHeight="1" x14ac:dyDescent="0.25"/>
    <row r="60" spans="1:22" x14ac:dyDescent="0.25">
      <c r="A60" s="353" t="e">
        <f>#REF!</f>
        <v>#REF!</v>
      </c>
      <c r="B60" s="353"/>
      <c r="C60" s="353"/>
      <c r="D60" s="353" t="e">
        <f>#REF!</f>
        <v>#REF!</v>
      </c>
      <c r="E60" s="353"/>
      <c r="F60" s="353"/>
    </row>
    <row r="61" spans="1:22" ht="11.25" customHeight="1" x14ac:dyDescent="0.25">
      <c r="A61" s="354"/>
      <c r="B61" s="354"/>
      <c r="C61" s="354"/>
      <c r="D61" s="354"/>
      <c r="E61" s="354"/>
      <c r="F61" s="354"/>
    </row>
    <row r="62" spans="1:22" ht="30" customHeight="1" x14ac:dyDescent="0.25">
      <c r="A62" s="340" t="e">
        <f>#REF!</f>
        <v>#REF!</v>
      </c>
      <c r="B62" s="340"/>
      <c r="C62" s="340"/>
      <c r="D62" s="340" t="e">
        <f>#REF!</f>
        <v>#REF!</v>
      </c>
      <c r="E62" s="340"/>
      <c r="F62" s="340"/>
    </row>
    <row r="63" spans="1:22" ht="32.25" customHeight="1" x14ac:dyDescent="0.25">
      <c r="A63" s="351" t="e">
        <f>#REF!</f>
        <v>#REF!</v>
      </c>
      <c r="B63" s="351"/>
      <c r="C63" s="351"/>
      <c r="D63" s="351" t="e">
        <f>#REF!</f>
        <v>#REF!</v>
      </c>
      <c r="E63" s="351"/>
      <c r="F63" s="351"/>
    </row>
    <row r="64" spans="1:22" x14ac:dyDescent="0.25">
      <c r="A64" s="351" t="e">
        <f>#REF!</f>
        <v>#REF!</v>
      </c>
      <c r="B64" s="351"/>
      <c r="C64" s="351"/>
      <c r="D64" s="351" t="str">
        <f>"паспорт серии "&amp;'Общие данные'!B16&amp;", "&amp;'Общие данные'!B20&amp;""</f>
        <v>паспорт серии AD 9213848 , IIV 61013  tomonidan 31.10.2024 yilda berilgan</v>
      </c>
      <c r="E64" s="351"/>
      <c r="F64" s="351"/>
    </row>
    <row r="65" spans="1:6" ht="32.25" customHeight="1" x14ac:dyDescent="0.25">
      <c r="A65" s="351" t="e">
        <f>#REF!</f>
        <v>#REF!</v>
      </c>
      <c r="B65" s="351"/>
      <c r="C65" s="351"/>
      <c r="D65" s="351"/>
      <c r="E65" s="351"/>
      <c r="F65" s="351"/>
    </row>
    <row r="66" spans="1:6" x14ac:dyDescent="0.25">
      <c r="A66" s="351" t="e">
        <f>#REF!</f>
        <v>#REF!</v>
      </c>
      <c r="B66" s="351"/>
      <c r="C66" s="351"/>
      <c r="D66" s="351" t="e">
        <f>#REF!</f>
        <v>#REF!</v>
      </c>
      <c r="E66" s="351"/>
      <c r="F66" s="351"/>
    </row>
    <row r="67" spans="1:6" x14ac:dyDescent="0.25">
      <c r="A67" s="351" t="e">
        <f>#REF!</f>
        <v>#REF!</v>
      </c>
      <c r="B67" s="351"/>
      <c r="C67" s="351"/>
      <c r="D67" s="351" t="e">
        <f>#REF!</f>
        <v>#REF!</v>
      </c>
      <c r="E67" s="351"/>
      <c r="F67" s="351"/>
    </row>
    <row r="68" spans="1:6" x14ac:dyDescent="0.25">
      <c r="A68" s="351" t="e">
        <f>#REF!</f>
        <v>#REF!</v>
      </c>
      <c r="B68" s="351"/>
      <c r="C68" s="351"/>
      <c r="D68" s="351" t="e">
        <f>#REF!</f>
        <v>#REF!</v>
      </c>
      <c r="E68" s="351"/>
      <c r="F68" s="351"/>
    </row>
    <row r="69" spans="1:6" ht="8.25" customHeight="1" x14ac:dyDescent="0.25">
      <c r="A69" s="351"/>
      <c r="B69" s="351"/>
      <c r="C69" s="351"/>
      <c r="D69" s="351"/>
      <c r="E69" s="351"/>
      <c r="F69" s="351"/>
    </row>
    <row r="70" spans="1:6" x14ac:dyDescent="0.25">
      <c r="A70" s="340" t="e">
        <f>#REF!</f>
        <v>#REF!</v>
      </c>
      <c r="B70" s="340"/>
      <c r="C70" s="340"/>
      <c r="D70" s="340" t="e">
        <f>#REF!</f>
        <v>#REF!</v>
      </c>
      <c r="E70" s="340"/>
      <c r="F70" s="340"/>
    </row>
    <row r="71" spans="1:6" ht="7.5" customHeight="1" x14ac:dyDescent="0.25">
      <c r="A71" s="340"/>
      <c r="B71" s="340"/>
      <c r="C71" s="340"/>
      <c r="D71" s="340"/>
      <c r="E71" s="340"/>
      <c r="F71" s="340"/>
    </row>
    <row r="72" spans="1:6" x14ac:dyDescent="0.25">
      <c r="A72" s="340" t="e">
        <f>#REF!</f>
        <v>#REF!</v>
      </c>
      <c r="B72" s="340"/>
      <c r="C72" s="340"/>
      <c r="D72" s="340" t="e">
        <f>#REF!</f>
        <v>#REF!</v>
      </c>
      <c r="E72" s="340"/>
      <c r="F72" s="340"/>
    </row>
    <row r="73" spans="1:6" ht="8.25" customHeight="1" x14ac:dyDescent="0.25">
      <c r="A73" s="351"/>
      <c r="B73" s="351"/>
      <c r="C73" s="351"/>
      <c r="D73" s="351"/>
      <c r="E73" s="351"/>
      <c r="F73" s="351"/>
    </row>
    <row r="74" spans="1:6" ht="30" customHeight="1" x14ac:dyDescent="0.25">
      <c r="A74" s="356"/>
      <c r="B74" s="356"/>
      <c r="C74" s="356"/>
      <c r="D74" s="357" t="e">
        <f>#REF!</f>
        <v>#REF!</v>
      </c>
      <c r="E74" s="357"/>
      <c r="F74" s="357"/>
    </row>
    <row r="75" spans="1:6" x14ac:dyDescent="0.25">
      <c r="A75" s="358"/>
      <c r="B75" s="358"/>
      <c r="C75" s="358"/>
      <c r="D75" s="358"/>
      <c r="E75" s="358"/>
      <c r="F75" s="358"/>
    </row>
    <row r="76" spans="1:6" x14ac:dyDescent="0.25">
      <c r="A76" s="355"/>
      <c r="B76" s="355"/>
      <c r="C76" s="355"/>
      <c r="D76" s="355"/>
      <c r="E76" s="355"/>
      <c r="F76" s="355"/>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55">
    <cfRule type="cellIs" dxfId="5" priority="3" operator="lessThan">
      <formula>22105</formula>
    </cfRule>
  </conditionalFormatting>
  <conditionalFormatting sqref="C8:C55">
    <cfRule type="cellIs" dxfId="4" priority="2" operator="lessThan">
      <formula>1</formula>
    </cfRule>
  </conditionalFormatting>
  <conditionalFormatting sqref="C8:F55">
    <cfRule type="cellIs" dxfId="3"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0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9" customFormat="1" ht="36.75" customHeight="1" x14ac:dyDescent="0.25">
      <c r="A1" s="108" t="s">
        <v>13</v>
      </c>
      <c r="B1" s="109" t="s">
        <v>3</v>
      </c>
      <c r="D1" s="108"/>
      <c r="E1" s="108" t="s">
        <v>35</v>
      </c>
      <c r="F1" s="108" t="s">
        <v>36</v>
      </c>
      <c r="G1" s="108"/>
      <c r="H1" s="108"/>
      <c r="I1" s="108"/>
      <c r="J1" s="108"/>
      <c r="K1" s="108"/>
      <c r="L1" s="108" t="s">
        <v>37</v>
      </c>
      <c r="M1" s="108" t="s">
        <v>39</v>
      </c>
      <c r="N1" s="108" t="s">
        <v>38</v>
      </c>
    </row>
    <row r="2" spans="1:23" ht="15" customHeight="1" x14ac:dyDescent="0.25">
      <c r="A2" s="102">
        <v>1</v>
      </c>
      <c r="B2" t="s">
        <v>248</v>
      </c>
      <c r="C2" t="s">
        <v>61</v>
      </c>
      <c r="D2" s="104" t="s">
        <v>248</v>
      </c>
      <c r="E2" s="104" t="s">
        <v>41</v>
      </c>
      <c r="F2" s="105">
        <v>44207</v>
      </c>
      <c r="G2" s="95">
        <f>MONTH(F2)</f>
        <v>1</v>
      </c>
      <c r="H2" s="105" t="str">
        <f>IF(G2=$A$26,$A$28,IF(G2=$B$26,$B$28,IF(G2=$C$26,$C$28,IF(G2=$D$26,$D$28,IF(G2=$E$26,$E$28,IF(G2=$F$26,$F$28,IF(G2=$K$26,$K$28,IF(G2=$L$26,$L$28,IF(G2=$M$26,$M$28,IF(G2=$N$26,$N$28,IF(G2=$O$26,$O$28,IF(G2=$P$26,$P$28,0))))))))))))</f>
        <v>yanvar</v>
      </c>
      <c r="I2" s="95">
        <f>DAY(F2)</f>
        <v>11</v>
      </c>
      <c r="J2" s="107">
        <f>YEAR(F2)</f>
        <v>2021</v>
      </c>
      <c r="K2" s="105" t="str">
        <f>""&amp;I2&amp;" "&amp;H2&amp;" "&amp;J2&amp;" г."</f>
        <v>11 yanvar 2021 г.</v>
      </c>
      <c r="L2" s="104">
        <v>5</v>
      </c>
      <c r="M2" s="106">
        <v>15000000</v>
      </c>
      <c r="N2" s="104" t="s">
        <v>124</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02">
        <v>2</v>
      </c>
      <c r="D3" s="104" t="s">
        <v>248</v>
      </c>
      <c r="E3" s="104" t="s">
        <v>40</v>
      </c>
      <c r="F3" s="105">
        <v>43775</v>
      </c>
      <c r="G3" s="95">
        <f>MONTH(F3)</f>
        <v>11</v>
      </c>
      <c r="H3" s="105" t="str">
        <f>IF(G3=$A$26,$A$28,IF(G3=$B$26,$B$28,IF(G3=$C$26,$C$28,IF(G3=$D$26,$D$28,IF(G3=$E$26,$E$28,IF(G3=$F$26,$F$28,IF(G3=$K$26,$K$28,IF(G3=$L$26,$L$28,IF(G3=$M$26,$M$28,IF(G3=$N$26,$N$28,IF(G3=$O$26,$O$28,IF(G3=$P$26,$P$28,0))))))))))))</f>
        <v>noyabr</v>
      </c>
      <c r="I3" s="95">
        <f>DAY(F3)</f>
        <v>6</v>
      </c>
      <c r="J3" s="107">
        <f>YEAR(F3)</f>
        <v>2019</v>
      </c>
      <c r="K3" s="105" t="str">
        <f>""&amp;I3&amp;" "&amp;H3&amp;" "&amp;J3&amp;" г."</f>
        <v>6 noyabr 2019 г.</v>
      </c>
      <c r="L3" s="104">
        <v>386</v>
      </c>
      <c r="M3" s="106">
        <v>15000000</v>
      </c>
      <c r="N3" s="104" t="s">
        <v>124</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02">
        <v>3</v>
      </c>
      <c r="D4" s="104" t="s">
        <v>248</v>
      </c>
      <c r="E4" s="104" t="s">
        <v>40</v>
      </c>
      <c r="F4" s="105">
        <v>44217</v>
      </c>
      <c r="G4" s="95">
        <f>MONTH(F4)</f>
        <v>1</v>
      </c>
      <c r="H4" s="105" t="str">
        <f>IF(G4=$A$26,$A$28,IF(G4=$B$26,$B$28,IF(G4=$C$26,$C$28,IF(G4=$D$26,$D$28,IF(G4=$E$26,$E$28,IF(G4=$F$26,$F$28,IF(G4=$K$26,$K$28,IF(G4=$L$26,$L$28,IF(G4=$M$26,$M$28,IF(G4=$N$26,$N$28,IF(G4=$O$26,$O$28,IF(G4=$P$26,$P$28,0))))))))))))</f>
        <v>yanvar</v>
      </c>
      <c r="I4" s="95">
        <f>DAY(F4)</f>
        <v>21</v>
      </c>
      <c r="J4" s="107">
        <f>YEAR(F4)</f>
        <v>2021</v>
      </c>
      <c r="K4" s="105" t="str">
        <f>""&amp;I4&amp;" "&amp;H4&amp;" "&amp;J4&amp;" г."</f>
        <v>21 yanvar 2021 г.</v>
      </c>
      <c r="L4" s="104">
        <v>33</v>
      </c>
      <c r="M4" s="106">
        <v>15000000</v>
      </c>
      <c r="N4" s="104" t="s">
        <v>124</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02">
        <v>4</v>
      </c>
      <c r="D5" s="104" t="s">
        <v>248</v>
      </c>
      <c r="E5" s="104"/>
      <c r="F5" s="105"/>
      <c r="G5" s="95">
        <f t="shared" ref="G5:G21" si="2">MONTH(F5)</f>
        <v>1</v>
      </c>
      <c r="H5" s="105" t="str">
        <f t="shared" ref="H5:H21" si="3">IF(G5=$A$26,$A$28,IF(G5=$B$26,$B$28,IF(G5=$C$26,$C$28,IF(G5=$D$26,$D$28,IF(G5=$E$26,$E$28,IF(G5=$F$26,$F$28,IF(G5=$K$26,$K$28,IF(G5=$L$26,$L$28,IF(G5=$M$26,$M$28,IF(G5=$N$26,$N$28,IF(G5=$O$26,$O$28,IF(G5=$P$26,$P$28,0))))))))))))</f>
        <v>yanvar</v>
      </c>
      <c r="I5" s="95">
        <f t="shared" ref="I5:I21" si="4">DAY(F5)</f>
        <v>0</v>
      </c>
      <c r="J5" s="107">
        <f t="shared" ref="J5:J21" si="5">YEAR(F5)</f>
        <v>1900</v>
      </c>
      <c r="K5" s="105" t="str">
        <f t="shared" ref="K5:K21" si="6">""&amp;I5&amp;" "&amp;H5&amp;" "&amp;J5&amp;" г."</f>
        <v>0 yanvar 1900 г.</v>
      </c>
      <c r="L5" s="104"/>
      <c r="M5" s="106"/>
      <c r="N5" s="104"/>
      <c r="P5">
        <f t="shared" si="1"/>
        <v>0</v>
      </c>
    </row>
    <row r="6" spans="1:23" ht="15" customHeight="1" x14ac:dyDescent="0.25">
      <c r="A6" s="102">
        <v>5</v>
      </c>
      <c r="D6" s="104" t="s">
        <v>248</v>
      </c>
      <c r="E6" s="104"/>
      <c r="F6" s="105"/>
      <c r="G6" s="95">
        <f t="shared" si="2"/>
        <v>1</v>
      </c>
      <c r="H6" s="105" t="str">
        <f t="shared" si="3"/>
        <v>yanvar</v>
      </c>
      <c r="I6" s="95">
        <f t="shared" si="4"/>
        <v>0</v>
      </c>
      <c r="J6" s="107">
        <f t="shared" si="5"/>
        <v>1900</v>
      </c>
      <c r="K6" s="105" t="str">
        <f t="shared" si="6"/>
        <v>0 yanvar 1900 г.</v>
      </c>
      <c r="L6" s="104"/>
      <c r="M6" s="106"/>
      <c r="N6" s="104"/>
      <c r="P6">
        <f t="shared" si="1"/>
        <v>0</v>
      </c>
    </row>
    <row r="7" spans="1:23" ht="15" customHeight="1" x14ac:dyDescent="0.25">
      <c r="A7" s="102">
        <v>6</v>
      </c>
      <c r="D7" s="104" t="s">
        <v>248</v>
      </c>
      <c r="E7" s="104"/>
      <c r="F7" s="105"/>
      <c r="G7" s="95">
        <f t="shared" si="2"/>
        <v>1</v>
      </c>
      <c r="H7" s="105" t="str">
        <f t="shared" si="3"/>
        <v>yanvar</v>
      </c>
      <c r="I7" s="95">
        <f t="shared" si="4"/>
        <v>0</v>
      </c>
      <c r="J7" s="107">
        <f t="shared" si="5"/>
        <v>1900</v>
      </c>
      <c r="K7" s="105" t="str">
        <f t="shared" si="6"/>
        <v>0 yanvar 1900 г.</v>
      </c>
      <c r="L7" s="104"/>
      <c r="M7" s="106"/>
      <c r="N7" s="104"/>
      <c r="P7">
        <f t="shared" si="1"/>
        <v>0</v>
      </c>
    </row>
    <row r="8" spans="1:23" ht="15" customHeight="1" x14ac:dyDescent="0.25">
      <c r="A8" s="102">
        <v>7</v>
      </c>
      <c r="D8" s="104" t="s">
        <v>248</v>
      </c>
      <c r="E8" s="104"/>
      <c r="F8" s="105"/>
      <c r="G8" s="95">
        <f t="shared" si="2"/>
        <v>1</v>
      </c>
      <c r="H8" s="105" t="str">
        <f t="shared" si="3"/>
        <v>yanvar</v>
      </c>
      <c r="I8" s="95">
        <f t="shared" si="4"/>
        <v>0</v>
      </c>
      <c r="J8" s="107">
        <f t="shared" si="5"/>
        <v>1900</v>
      </c>
      <c r="K8" s="105" t="str">
        <f t="shared" si="6"/>
        <v>0 yanvar 1900 г.</v>
      </c>
      <c r="L8" s="104"/>
      <c r="M8" s="106"/>
      <c r="N8" s="104"/>
      <c r="P8">
        <f t="shared" si="1"/>
        <v>0</v>
      </c>
    </row>
    <row r="9" spans="1:23" ht="15" customHeight="1" x14ac:dyDescent="0.25">
      <c r="A9" s="102">
        <v>8</v>
      </c>
      <c r="D9" s="104" t="s">
        <v>248</v>
      </c>
      <c r="E9" s="104"/>
      <c r="F9" s="105"/>
      <c r="G9" s="95">
        <f t="shared" si="2"/>
        <v>1</v>
      </c>
      <c r="H9" s="105" t="str">
        <f t="shared" si="3"/>
        <v>yanvar</v>
      </c>
      <c r="I9" s="95">
        <f t="shared" si="4"/>
        <v>0</v>
      </c>
      <c r="J9" s="107">
        <f t="shared" si="5"/>
        <v>1900</v>
      </c>
      <c r="K9" s="105" t="str">
        <f t="shared" si="6"/>
        <v>0 yanvar 1900 г.</v>
      </c>
      <c r="L9" s="104"/>
      <c r="M9" s="106"/>
      <c r="N9" s="104"/>
      <c r="P9">
        <f t="shared" si="1"/>
        <v>0</v>
      </c>
    </row>
    <row r="10" spans="1:23" ht="15" customHeight="1" x14ac:dyDescent="0.25">
      <c r="A10" s="102">
        <v>9</v>
      </c>
      <c r="D10" s="104" t="s">
        <v>248</v>
      </c>
      <c r="E10" s="104"/>
      <c r="F10" s="105"/>
      <c r="G10" s="95">
        <f t="shared" si="2"/>
        <v>1</v>
      </c>
      <c r="H10" s="105" t="str">
        <f t="shared" si="3"/>
        <v>yanvar</v>
      </c>
      <c r="I10" s="95">
        <f t="shared" si="4"/>
        <v>0</v>
      </c>
      <c r="J10" s="107">
        <f t="shared" si="5"/>
        <v>1900</v>
      </c>
      <c r="K10" s="105" t="str">
        <f t="shared" si="6"/>
        <v>0 yanvar 1900 г.</v>
      </c>
      <c r="L10" s="104"/>
      <c r="M10" s="106"/>
      <c r="N10" s="104"/>
      <c r="P10">
        <f t="shared" si="1"/>
        <v>0</v>
      </c>
    </row>
    <row r="11" spans="1:23" ht="15" customHeight="1" x14ac:dyDescent="0.25">
      <c r="A11" s="102">
        <v>10</v>
      </c>
      <c r="D11" s="104" t="s">
        <v>248</v>
      </c>
      <c r="E11" s="104"/>
      <c r="F11" s="105"/>
      <c r="G11" s="95">
        <f t="shared" si="2"/>
        <v>1</v>
      </c>
      <c r="H11" s="105" t="str">
        <f t="shared" si="3"/>
        <v>yanvar</v>
      </c>
      <c r="I11" s="95">
        <f t="shared" si="4"/>
        <v>0</v>
      </c>
      <c r="J11" s="107">
        <f t="shared" si="5"/>
        <v>1900</v>
      </c>
      <c r="K11" s="105" t="str">
        <f t="shared" si="6"/>
        <v>0 yanvar 1900 г.</v>
      </c>
      <c r="L11" s="104"/>
      <c r="M11" s="106"/>
      <c r="N11" s="104"/>
      <c r="P11">
        <f t="shared" si="1"/>
        <v>0</v>
      </c>
    </row>
    <row r="12" spans="1:23" ht="15" customHeight="1" x14ac:dyDescent="0.25">
      <c r="A12" s="102">
        <v>11</v>
      </c>
      <c r="D12" s="104" t="s">
        <v>248</v>
      </c>
      <c r="E12" s="104"/>
      <c r="F12" s="105"/>
      <c r="G12" s="95">
        <f t="shared" si="2"/>
        <v>1</v>
      </c>
      <c r="H12" s="105" t="str">
        <f t="shared" si="3"/>
        <v>yanvar</v>
      </c>
      <c r="I12" s="95">
        <f t="shared" si="4"/>
        <v>0</v>
      </c>
      <c r="J12" s="107">
        <f t="shared" si="5"/>
        <v>1900</v>
      </c>
      <c r="K12" s="105" t="str">
        <f t="shared" si="6"/>
        <v>0 yanvar 1900 г.</v>
      </c>
      <c r="L12" s="104"/>
      <c r="M12" s="106"/>
      <c r="N12" s="104"/>
      <c r="P12">
        <f t="shared" si="1"/>
        <v>0</v>
      </c>
    </row>
    <row r="13" spans="1:23" ht="15" customHeight="1" x14ac:dyDescent="0.25">
      <c r="A13" s="102">
        <v>12</v>
      </c>
      <c r="D13" s="104" t="s">
        <v>248</v>
      </c>
      <c r="E13" s="104"/>
      <c r="F13" s="105"/>
      <c r="G13" s="95">
        <f t="shared" si="2"/>
        <v>1</v>
      </c>
      <c r="H13" s="105" t="str">
        <f t="shared" si="3"/>
        <v>yanvar</v>
      </c>
      <c r="I13" s="95">
        <f t="shared" si="4"/>
        <v>0</v>
      </c>
      <c r="J13" s="107">
        <f t="shared" si="5"/>
        <v>1900</v>
      </c>
      <c r="K13" s="105" t="str">
        <f t="shared" si="6"/>
        <v>0 yanvar 1900 г.</v>
      </c>
      <c r="L13" s="104"/>
      <c r="M13" s="106"/>
      <c r="N13" s="104"/>
      <c r="P13">
        <f t="shared" si="1"/>
        <v>0</v>
      </c>
    </row>
    <row r="14" spans="1:23" ht="15" customHeight="1" x14ac:dyDescent="0.25">
      <c r="A14" s="102">
        <v>13</v>
      </c>
      <c r="D14" s="104" t="s">
        <v>248</v>
      </c>
      <c r="E14" s="104"/>
      <c r="F14" s="105"/>
      <c r="G14" s="95">
        <f t="shared" si="2"/>
        <v>1</v>
      </c>
      <c r="H14" s="105" t="str">
        <f t="shared" si="3"/>
        <v>yanvar</v>
      </c>
      <c r="I14" s="95">
        <f t="shared" si="4"/>
        <v>0</v>
      </c>
      <c r="J14" s="107">
        <f t="shared" si="5"/>
        <v>1900</v>
      </c>
      <c r="K14" s="105" t="str">
        <f t="shared" si="6"/>
        <v>0 yanvar 1900 г.</v>
      </c>
      <c r="L14" s="104"/>
      <c r="M14" s="106"/>
      <c r="N14" s="104"/>
      <c r="P14">
        <f t="shared" si="1"/>
        <v>0</v>
      </c>
    </row>
    <row r="15" spans="1:23" ht="15" customHeight="1" x14ac:dyDescent="0.25">
      <c r="A15" s="102">
        <v>14</v>
      </c>
      <c r="D15" s="104" t="s">
        <v>248</v>
      </c>
      <c r="E15" s="104"/>
      <c r="F15" s="105"/>
      <c r="G15" s="95">
        <f t="shared" si="2"/>
        <v>1</v>
      </c>
      <c r="H15" s="105" t="str">
        <f t="shared" si="3"/>
        <v>yanvar</v>
      </c>
      <c r="I15" s="95">
        <f t="shared" si="4"/>
        <v>0</v>
      </c>
      <c r="J15" s="107">
        <f t="shared" si="5"/>
        <v>1900</v>
      </c>
      <c r="K15" s="105" t="str">
        <f t="shared" si="6"/>
        <v>0 yanvar 1900 г.</v>
      </c>
      <c r="L15" s="104"/>
      <c r="M15" s="106"/>
      <c r="N15" s="104"/>
      <c r="P15">
        <f t="shared" si="1"/>
        <v>0</v>
      </c>
    </row>
    <row r="16" spans="1:23" ht="15" customHeight="1" x14ac:dyDescent="0.25">
      <c r="A16" s="102">
        <v>15</v>
      </c>
      <c r="D16" s="104" t="s">
        <v>248</v>
      </c>
      <c r="E16" s="104"/>
      <c r="F16" s="105"/>
      <c r="G16" s="95">
        <f t="shared" si="2"/>
        <v>1</v>
      </c>
      <c r="H16" s="105" t="str">
        <f t="shared" si="3"/>
        <v>yanvar</v>
      </c>
      <c r="I16" s="95">
        <f t="shared" si="4"/>
        <v>0</v>
      </c>
      <c r="J16" s="107">
        <f t="shared" si="5"/>
        <v>1900</v>
      </c>
      <c r="K16" s="105" t="str">
        <f t="shared" si="6"/>
        <v>0 yanvar 1900 г.</v>
      </c>
      <c r="L16" s="104"/>
      <c r="M16" s="106"/>
      <c r="N16" s="104"/>
      <c r="P16">
        <f t="shared" si="1"/>
        <v>0</v>
      </c>
    </row>
    <row r="17" spans="1:17" ht="15" customHeight="1" x14ac:dyDescent="0.25">
      <c r="A17" s="102">
        <v>16</v>
      </c>
      <c r="D17" s="104" t="s">
        <v>248</v>
      </c>
      <c r="E17" s="104"/>
      <c r="F17" s="105"/>
      <c r="G17" s="95">
        <f t="shared" si="2"/>
        <v>1</v>
      </c>
      <c r="H17" s="105" t="str">
        <f t="shared" si="3"/>
        <v>yanvar</v>
      </c>
      <c r="I17" s="95">
        <f t="shared" si="4"/>
        <v>0</v>
      </c>
      <c r="J17" s="107">
        <f t="shared" si="5"/>
        <v>1900</v>
      </c>
      <c r="K17" s="105" t="str">
        <f t="shared" si="6"/>
        <v>0 yanvar 1900 г.</v>
      </c>
      <c r="L17" s="104"/>
      <c r="M17" s="106"/>
      <c r="N17" s="104"/>
      <c r="P17">
        <f t="shared" si="1"/>
        <v>0</v>
      </c>
    </row>
    <row r="18" spans="1:17" ht="15" customHeight="1" x14ac:dyDescent="0.25">
      <c r="A18" s="102">
        <v>17</v>
      </c>
      <c r="D18" s="104" t="s">
        <v>248</v>
      </c>
      <c r="E18" s="104"/>
      <c r="F18" s="105"/>
      <c r="G18" s="95">
        <f t="shared" si="2"/>
        <v>1</v>
      </c>
      <c r="H18" s="105" t="str">
        <f t="shared" si="3"/>
        <v>yanvar</v>
      </c>
      <c r="I18" s="95">
        <f t="shared" si="4"/>
        <v>0</v>
      </c>
      <c r="J18" s="107">
        <f t="shared" si="5"/>
        <v>1900</v>
      </c>
      <c r="K18" s="105" t="str">
        <f t="shared" si="6"/>
        <v>0 yanvar 1900 г.</v>
      </c>
      <c r="L18" s="104"/>
      <c r="M18" s="106"/>
      <c r="N18" s="104"/>
      <c r="P18">
        <f t="shared" si="1"/>
        <v>0</v>
      </c>
    </row>
    <row r="19" spans="1:17" ht="15" customHeight="1" x14ac:dyDescent="0.25">
      <c r="A19" s="102">
        <v>18</v>
      </c>
      <c r="D19" s="104" t="s">
        <v>248</v>
      </c>
      <c r="E19" s="104"/>
      <c r="F19" s="105"/>
      <c r="G19" s="95">
        <f t="shared" si="2"/>
        <v>1</v>
      </c>
      <c r="H19" s="105" t="str">
        <f t="shared" si="3"/>
        <v>yanvar</v>
      </c>
      <c r="I19" s="95">
        <f t="shared" si="4"/>
        <v>0</v>
      </c>
      <c r="J19" s="107">
        <f t="shared" si="5"/>
        <v>1900</v>
      </c>
      <c r="K19" s="105" t="str">
        <f t="shared" si="6"/>
        <v>0 yanvar 1900 г.</v>
      </c>
      <c r="L19" s="104"/>
      <c r="M19" s="106"/>
      <c r="N19" s="104"/>
      <c r="P19">
        <f t="shared" si="1"/>
        <v>0</v>
      </c>
    </row>
    <row r="20" spans="1:17" ht="15" customHeight="1" x14ac:dyDescent="0.25">
      <c r="A20" s="102">
        <v>19</v>
      </c>
      <c r="D20" s="104" t="s">
        <v>248</v>
      </c>
      <c r="E20" s="104"/>
      <c r="F20" s="105"/>
      <c r="G20" s="95">
        <f t="shared" si="2"/>
        <v>1</v>
      </c>
      <c r="H20" s="105" t="str">
        <f t="shared" si="3"/>
        <v>yanvar</v>
      </c>
      <c r="I20" s="95">
        <f t="shared" si="4"/>
        <v>0</v>
      </c>
      <c r="J20" s="107">
        <f t="shared" si="5"/>
        <v>1900</v>
      </c>
      <c r="K20" s="105" t="str">
        <f t="shared" si="6"/>
        <v>0 yanvar 1900 г.</v>
      </c>
      <c r="L20" s="104"/>
      <c r="M20" s="106"/>
      <c r="N20" s="104"/>
      <c r="P20">
        <f t="shared" si="1"/>
        <v>0</v>
      </c>
    </row>
    <row r="21" spans="1:17" ht="15" customHeight="1" x14ac:dyDescent="0.25">
      <c r="A21" s="102">
        <v>20</v>
      </c>
      <c r="D21" s="104" t="s">
        <v>248</v>
      </c>
      <c r="E21" s="104"/>
      <c r="F21" s="105"/>
      <c r="G21" s="95">
        <f t="shared" si="2"/>
        <v>1</v>
      </c>
      <c r="H21" s="105" t="str">
        <f t="shared" si="3"/>
        <v>yanvar</v>
      </c>
      <c r="I21" s="95">
        <f t="shared" si="4"/>
        <v>0</v>
      </c>
      <c r="J21" s="107">
        <f t="shared" si="5"/>
        <v>1900</v>
      </c>
      <c r="K21" s="105" t="str">
        <f t="shared" si="6"/>
        <v>0 yanvar 1900 г.</v>
      </c>
      <c r="L21" s="104"/>
      <c r="M21" s="106"/>
      <c r="N21" s="104"/>
      <c r="P21">
        <f t="shared" si="1"/>
        <v>0</v>
      </c>
    </row>
    <row r="22" spans="1:17" x14ac:dyDescent="0.25">
      <c r="M22" s="110">
        <f>SUM(M2:M21)+'Общие данные'!B143</f>
        <v>94000000</v>
      </c>
      <c r="Q22" t="s">
        <v>247</v>
      </c>
    </row>
    <row r="23" spans="1:17" x14ac:dyDescent="0.25">
      <c r="A23" s="91"/>
      <c r="B23" s="92"/>
      <c r="C23" s="92"/>
      <c r="D23" s="92"/>
      <c r="E23" s="92"/>
      <c r="F23" s="92"/>
      <c r="G23" s="92"/>
      <c r="H23" s="92"/>
      <c r="I23" s="92"/>
      <c r="J23" s="92"/>
      <c r="K23" s="92"/>
      <c r="L23" s="92"/>
      <c r="M23" s="92"/>
      <c r="N23" s="92"/>
      <c r="O23" s="92"/>
    </row>
    <row r="24" spans="1:17" x14ac:dyDescent="0.25">
      <c r="A24" s="92"/>
      <c r="B24" s="92"/>
      <c r="C24" s="92"/>
      <c r="D24" s="92"/>
      <c r="E24" s="92"/>
      <c r="F24" s="92"/>
      <c r="G24" s="92"/>
      <c r="H24" s="92"/>
      <c r="I24" s="92"/>
      <c r="J24" s="92"/>
      <c r="K24" s="92"/>
      <c r="L24" s="92"/>
      <c r="M24" s="92"/>
      <c r="N24" s="92"/>
      <c r="O24" s="92"/>
    </row>
    <row r="25" spans="1:17" x14ac:dyDescent="0.25">
      <c r="A25" s="92">
        <f>MONTH(F2)</f>
        <v>1</v>
      </c>
      <c r="B25" s="92" t="str">
        <f>IF(A25=A26,A28,IF(A25=B26,B28,IF(A25=C26,C28,IF(A25=D26,D28,IF(A25=E26,E28,IF(A25=F26,F28,IF(A25=K26,K28,IF(A25=L26,L28,IF(A25=M26,M28,IF(A25=N26,N28,IF(A25=O26,O28,IF(A25=#REF!,#REF!,))))))))))))</f>
        <v>yanvar</v>
      </c>
      <c r="C25" s="92">
        <f>DAY(F2)</f>
        <v>11</v>
      </c>
      <c r="D25" s="92">
        <f>YEAR(F2)</f>
        <v>2021</v>
      </c>
      <c r="E25" s="92"/>
      <c r="F25" s="92"/>
      <c r="G25" s="92"/>
      <c r="H25" s="92"/>
      <c r="I25" s="92"/>
      <c r="J25" s="92"/>
      <c r="K25" s="92"/>
      <c r="L25" s="92"/>
      <c r="M25" s="92"/>
      <c r="N25" s="92"/>
      <c r="O25" s="92"/>
    </row>
    <row r="26" spans="1:17" x14ac:dyDescent="0.25">
      <c r="A26" s="92">
        <v>1</v>
      </c>
      <c r="B26" s="92">
        <v>2</v>
      </c>
      <c r="C26" s="92">
        <v>3</v>
      </c>
      <c r="D26" s="92">
        <v>4</v>
      </c>
      <c r="E26" s="92">
        <v>5</v>
      </c>
      <c r="F26" s="92">
        <v>6</v>
      </c>
      <c r="G26" s="92"/>
      <c r="H26" s="92"/>
      <c r="I26" s="92"/>
      <c r="J26" s="92"/>
      <c r="K26" s="92">
        <v>7</v>
      </c>
      <c r="L26" s="92">
        <v>8</v>
      </c>
      <c r="M26" s="92">
        <v>9</v>
      </c>
      <c r="N26" s="92">
        <v>10</v>
      </c>
      <c r="O26" s="92">
        <v>11</v>
      </c>
      <c r="P26" s="92">
        <v>12</v>
      </c>
    </row>
    <row r="27" spans="1:17" x14ac:dyDescent="0.25">
      <c r="A27" s="92"/>
      <c r="B27" s="92"/>
      <c r="C27" s="92"/>
      <c r="D27" s="92"/>
      <c r="E27" s="92"/>
      <c r="F27" s="92"/>
      <c r="G27" s="92"/>
      <c r="H27" s="92"/>
      <c r="I27" s="92"/>
      <c r="J27" s="92"/>
      <c r="K27" s="92"/>
      <c r="L27" s="92"/>
      <c r="M27" s="92"/>
      <c r="N27" s="92"/>
      <c r="O27" s="92"/>
    </row>
    <row r="28" spans="1:17" x14ac:dyDescent="0.25">
      <c r="A28" s="92" t="s">
        <v>113</v>
      </c>
      <c r="B28" s="92" t="s">
        <v>114</v>
      </c>
      <c r="C28" s="92" t="s">
        <v>103</v>
      </c>
      <c r="D28" s="92" t="s">
        <v>104</v>
      </c>
      <c r="E28" s="92" t="s">
        <v>105</v>
      </c>
      <c r="F28" s="92" t="s">
        <v>106</v>
      </c>
      <c r="G28" s="92"/>
      <c r="H28" s="92"/>
      <c r="I28" s="92"/>
      <c r="J28" s="92"/>
      <c r="K28" s="92" t="s">
        <v>21</v>
      </c>
      <c r="L28" s="92" t="s">
        <v>108</v>
      </c>
      <c r="M28" s="92" t="s">
        <v>246</v>
      </c>
      <c r="N28" s="92" t="s">
        <v>245</v>
      </c>
      <c r="O28" s="92" t="s">
        <v>111</v>
      </c>
      <c r="P28" s="92" t="s">
        <v>112</v>
      </c>
    </row>
    <row r="29" spans="1:17" x14ac:dyDescent="0.25">
      <c r="A29" s="92" t="s">
        <v>113</v>
      </c>
      <c r="B29" s="92" t="s">
        <v>114</v>
      </c>
      <c r="C29" s="92" t="s">
        <v>103</v>
      </c>
      <c r="D29" s="92" t="s">
        <v>104</v>
      </c>
      <c r="E29" s="92" t="s">
        <v>105</v>
      </c>
      <c r="F29" s="92" t="s">
        <v>106</v>
      </c>
      <c r="G29" s="92"/>
      <c r="H29" s="92"/>
      <c r="I29" s="92"/>
      <c r="J29" s="92"/>
      <c r="K29" s="92" t="s">
        <v>23</v>
      </c>
      <c r="L29" s="92" t="s">
        <v>108</v>
      </c>
      <c r="M29" s="92" t="s">
        <v>246</v>
      </c>
      <c r="N29" s="92" t="s">
        <v>245</v>
      </c>
      <c r="O29" s="92" t="s">
        <v>111</v>
      </c>
      <c r="P29" s="92" t="s">
        <v>112</v>
      </c>
    </row>
    <row r="30" spans="1:17" x14ac:dyDescent="0.25">
      <c r="A30" s="92"/>
      <c r="B30" s="92"/>
      <c r="C30" s="92"/>
      <c r="D30" s="92"/>
      <c r="E30" s="92"/>
      <c r="F30" s="92"/>
      <c r="G30" s="92"/>
      <c r="H30" s="92"/>
      <c r="I30" s="92"/>
      <c r="J30" s="92"/>
      <c r="K30" s="92"/>
      <c r="L30" s="93"/>
      <c r="M30" s="93"/>
      <c r="N30" s="93"/>
      <c r="O30" s="93"/>
    </row>
  </sheetData>
  <dataValidations count="1">
    <dataValidation type="list" allowBlank="1" showInputMessage="1" showErrorMessage="1" sqref="D2:D21">
      <formula1>$B$2:$C$2</formula1>
    </dataValidation>
  </dataValidations>
  <pageMargins left="0.7" right="0.7" top="0.75" bottom="0.75" header="0.3" footer="0.3"/>
  <pageSetup paperSize="9" scale="6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x14ac:dyDescent="0.25"/>
  <cols>
    <col min="1" max="1" width="9.140625" style="13"/>
    <col min="2" max="2" width="10.140625" style="13" bestFit="1" customWidth="1"/>
    <col min="3" max="3" width="16.5703125" style="13" customWidth="1"/>
    <col min="4" max="4" width="17.140625" style="13" customWidth="1"/>
    <col min="5" max="5" width="17.85546875" style="13" customWidth="1"/>
    <col min="6" max="6" width="20.85546875" style="13" customWidth="1"/>
    <col min="7" max="7" width="10.140625" style="13" customWidth="1" outlineLevel="1"/>
    <col min="8" max="16384" width="9.140625" style="13"/>
  </cols>
  <sheetData>
    <row r="1" spans="1:8" x14ac:dyDescent="0.25">
      <c r="A1" s="34"/>
      <c r="B1" s="34"/>
      <c r="C1" s="34"/>
      <c r="D1" s="34"/>
      <c r="E1" s="322" t="s">
        <v>14</v>
      </c>
      <c r="F1" s="322"/>
    </row>
    <row r="2" spans="1:8" x14ac:dyDescent="0.25">
      <c r="A2" s="34"/>
      <c r="B2" s="34"/>
      <c r="C2" s="34"/>
      <c r="D2" s="34"/>
      <c r="E2" s="34"/>
      <c r="F2" s="35" t="str">
        <f>"к договору микрозайма "&amp;'Общие данные'!B74&amp;""</f>
        <v>к договору микрозайма 7 aprel 2026 y.dan № 323-BR</v>
      </c>
    </row>
    <row r="3" spans="1:8" ht="6.75" customHeight="1" x14ac:dyDescent="0.25">
      <c r="A3" s="34"/>
      <c r="B3" s="34"/>
      <c r="C3" s="34"/>
      <c r="D3" s="34"/>
      <c r="E3" s="34"/>
      <c r="F3" s="34"/>
    </row>
    <row r="4" spans="1:8" x14ac:dyDescent="0.25">
      <c r="A4" s="323" t="s">
        <v>15</v>
      </c>
      <c r="B4" s="323"/>
      <c r="C4" s="323"/>
      <c r="D4" s="323"/>
      <c r="E4" s="323"/>
      <c r="F4" s="323"/>
    </row>
    <row r="5" spans="1:8" ht="7.5" customHeight="1" x14ac:dyDescent="0.25"/>
    <row r="6" spans="1:8" x14ac:dyDescent="0.25">
      <c r="A6" s="324" t="s">
        <v>13</v>
      </c>
      <c r="B6" s="325" t="s">
        <v>7</v>
      </c>
      <c r="C6" s="325" t="s">
        <v>8</v>
      </c>
      <c r="D6" s="326" t="s">
        <v>9</v>
      </c>
      <c r="E6" s="326"/>
      <c r="F6" s="326"/>
    </row>
    <row r="7" spans="1:8" s="14" customFormat="1" x14ac:dyDescent="0.25">
      <c r="A7" s="324"/>
      <c r="B7" s="325"/>
      <c r="C7" s="325"/>
      <c r="D7" s="15" t="s">
        <v>10</v>
      </c>
      <c r="E7" s="15" t="s">
        <v>11</v>
      </c>
      <c r="F7" s="15" t="s">
        <v>12</v>
      </c>
    </row>
    <row r="8" spans="1:8" x14ac:dyDescent="0.25">
      <c r="A8" s="16">
        <v>1</v>
      </c>
      <c r="B8" s="30">
        <f>'График дифференц'!B8</f>
        <v>46147</v>
      </c>
      <c r="C8" s="31">
        <f>'Общие данные'!B76</f>
        <v>52000000</v>
      </c>
      <c r="D8" s="31">
        <f>IF(A8&lt;'Общие данные'!$B$82,'График аннуитет.'!F8-'График аннуитет.'!E8,'График аннуитет.'!C8)</f>
        <v>1612039.56</v>
      </c>
      <c r="E8" s="31">
        <f>ROUND(C8*'Общие данные'!$B$85/H8,2)*'График аннуитет.'!G8</f>
        <v>2193972.48</v>
      </c>
      <c r="F8" s="31">
        <f>'Общие данные'!B91</f>
        <v>3806012.04</v>
      </c>
      <c r="G8" s="13">
        <f>B8-'Общие данные'!B67</f>
        <v>28</v>
      </c>
      <c r="H8" s="13">
        <f>DATE(YEAR(B8),12,31)-DATE(YEAR(B8),1,1)+1</f>
        <v>365</v>
      </c>
    </row>
    <row r="9" spans="1:8" x14ac:dyDescent="0.25">
      <c r="A9" s="16">
        <v>2</v>
      </c>
      <c r="B9" s="30">
        <f>'График дифференц'!B9</f>
        <v>46178</v>
      </c>
      <c r="C9" s="31">
        <f t="shared" ref="C9:C30" si="0">C8-D8</f>
        <v>50387960.439999998</v>
      </c>
      <c r="D9" s="31">
        <f>IF(A9&lt;'Общие данные'!$B$82,'График аннуитет.'!F9-'График аннуитет.'!E9,'График аннуитет.'!C9)</f>
        <v>1452273.1800000002</v>
      </c>
      <c r="E9" s="31">
        <f>ROUND(C9*'Общие данные'!$B$85/H9,2)*'График аннуитет.'!G9</f>
        <v>2353738.86</v>
      </c>
      <c r="F9" s="31">
        <f>IF(A9&lt;'Общие данные'!$B$82,'График аннуитет.'!F8,'График аннуитет.'!D9+'График аннуитет.'!E9)</f>
        <v>3806012.04</v>
      </c>
      <c r="G9" s="13">
        <f>B9-B8</f>
        <v>31</v>
      </c>
      <c r="H9" s="13">
        <f t="shared" ref="H9:H31" si="1">DATE(YEAR(B9),12,31)-DATE(YEAR(B9),1,1)+1</f>
        <v>365</v>
      </c>
    </row>
    <row r="10" spans="1:8" x14ac:dyDescent="0.25">
      <c r="A10" s="16">
        <v>3</v>
      </c>
      <c r="B10" s="30">
        <f>'График дифференц'!B10</f>
        <v>46209</v>
      </c>
      <c r="C10" s="31">
        <f t="shared" si="0"/>
        <v>48935687.259999998</v>
      </c>
      <c r="D10" s="31">
        <f>IF(A10&lt;'Общие данные'!$B$82,'График аннуитет.'!F10-'График аннуитет.'!E10,'График аннуитет.'!C10)</f>
        <v>1520112.0299999998</v>
      </c>
      <c r="E10" s="31">
        <f>ROUND(C10*'Общие данные'!$B$85/H10,2)*'График аннуитет.'!G10</f>
        <v>2285900.0100000002</v>
      </c>
      <c r="F10" s="31">
        <f>IF(A10&lt;'Общие данные'!$B$82,'График аннуитет.'!F9,'График аннуитет.'!D10+'График аннуитет.'!E10)</f>
        <v>3806012.04</v>
      </c>
      <c r="G10" s="13">
        <f t="shared" ref="G10:G24" si="2">B10-B9</f>
        <v>31</v>
      </c>
      <c r="H10" s="13">
        <f t="shared" si="1"/>
        <v>365</v>
      </c>
    </row>
    <row r="11" spans="1:8" x14ac:dyDescent="0.25">
      <c r="A11" s="16">
        <v>4</v>
      </c>
      <c r="B11" s="30">
        <f>'График дифференц'!B11</f>
        <v>46239</v>
      </c>
      <c r="C11" s="31">
        <f t="shared" si="0"/>
        <v>47415575.229999997</v>
      </c>
      <c r="D11" s="31">
        <f>IF(A11&lt;'Общие данные'!$B$82,'График аннуитет.'!F11-'График аннуитет.'!E11,'График аннуитет.'!C11)</f>
        <v>1662568.1399999997</v>
      </c>
      <c r="E11" s="31">
        <f>ROUND(C11*'Общие данные'!$B$85/H11,2)*'График аннуитет.'!G11</f>
        <v>2143443.9000000004</v>
      </c>
      <c r="F11" s="31">
        <f>IF(A11&lt;'Общие данные'!$B$82,'График аннуитет.'!F10,'График аннуитет.'!D11+'График аннуитет.'!E11)</f>
        <v>3806012.04</v>
      </c>
      <c r="G11" s="13">
        <f t="shared" si="2"/>
        <v>30</v>
      </c>
      <c r="H11" s="13">
        <f t="shared" si="1"/>
        <v>365</v>
      </c>
    </row>
    <row r="12" spans="1:8" x14ac:dyDescent="0.25">
      <c r="A12" s="16">
        <v>5</v>
      </c>
      <c r="B12" s="30">
        <f>'График дифференц'!B12</f>
        <v>46272</v>
      </c>
      <c r="C12" s="31">
        <f t="shared" si="0"/>
        <v>45753007.089999996</v>
      </c>
      <c r="D12" s="31">
        <f>IF(A12&lt;'Общие данные'!$B$82,'График аннуитет.'!F12-'График аннуитет.'!E12,'График аннуитет.'!C12)</f>
        <v>1530896.67</v>
      </c>
      <c r="E12" s="31">
        <f>ROUND(C12*'Общие данные'!$B$85/H12,2)*'График аннуитет.'!G12</f>
        <v>2275115.37</v>
      </c>
      <c r="F12" s="31">
        <f>IF(A12&lt;'Общие данные'!$B$82,'График аннуитет.'!F11,'График аннуитет.'!D12+'График аннуитет.'!E12)</f>
        <v>3806012.04</v>
      </c>
      <c r="G12" s="13">
        <f t="shared" si="2"/>
        <v>33</v>
      </c>
      <c r="H12" s="13">
        <f t="shared" si="1"/>
        <v>365</v>
      </c>
    </row>
    <row r="13" spans="1:8" x14ac:dyDescent="0.25">
      <c r="A13" s="16">
        <v>6</v>
      </c>
      <c r="B13" s="30">
        <f>'График дифференц'!B13</f>
        <v>46300</v>
      </c>
      <c r="C13" s="31">
        <f t="shared" si="0"/>
        <v>44222110.419999994</v>
      </c>
      <c r="D13" s="31">
        <f>IF(A13&lt;'Общие данные'!$B$82,'График аннуитет.'!F13-'График аннуитет.'!E13,'График аннуитет.'!C13)</f>
        <v>1940202.36</v>
      </c>
      <c r="E13" s="31">
        <f>ROUND(C13*'Общие данные'!$B$85/H13,2)*'График аннуитет.'!G13</f>
        <v>1865809.68</v>
      </c>
      <c r="F13" s="31">
        <f>IF(A13&lt;'Общие данные'!$B$82,'График аннуитет.'!F12,'График аннуитет.'!D13+'График аннуитет.'!E13)</f>
        <v>3806012.04</v>
      </c>
      <c r="G13" s="13">
        <f t="shared" si="2"/>
        <v>28</v>
      </c>
      <c r="H13" s="13">
        <f t="shared" si="1"/>
        <v>365</v>
      </c>
    </row>
    <row r="14" spans="1:8" x14ac:dyDescent="0.25">
      <c r="A14" s="16">
        <v>7</v>
      </c>
      <c r="B14" s="30">
        <f>'График дифференц'!B14</f>
        <v>46331</v>
      </c>
      <c r="C14" s="31">
        <f t="shared" si="0"/>
        <v>42281908.059999995</v>
      </c>
      <c r="D14" s="31">
        <f>IF(A14&lt;'Общие данные'!$B$82,'График аннуитет.'!F14-'График аннуитет.'!E14,'График аннуитет.'!C14)</f>
        <v>1830925.78</v>
      </c>
      <c r="E14" s="31">
        <f>ROUND(C14*'Общие данные'!$B$85/H14,2)*'График аннуитет.'!G14</f>
        <v>1975086.26</v>
      </c>
      <c r="F14" s="31">
        <f>IF(A14&lt;'Общие данные'!$B$82,'График аннуитет.'!F13,'График аннуитет.'!D14+'График аннуитет.'!E14)</f>
        <v>3806012.04</v>
      </c>
      <c r="G14" s="13">
        <f t="shared" si="2"/>
        <v>31</v>
      </c>
      <c r="H14" s="13">
        <f t="shared" si="1"/>
        <v>365</v>
      </c>
    </row>
    <row r="15" spans="1:8" x14ac:dyDescent="0.25">
      <c r="A15" s="16">
        <v>8</v>
      </c>
      <c r="B15" s="30">
        <f>'График дифференц'!B15</f>
        <v>46363</v>
      </c>
      <c r="C15" s="31">
        <f t="shared" si="0"/>
        <v>40450982.279999994</v>
      </c>
      <c r="D15" s="31">
        <f>IF(A15&lt;'Общие данные'!$B$82,'График аннуитет.'!F15-'График аннуитет.'!E15,'График аннуитет.'!C15)</f>
        <v>1855499.08</v>
      </c>
      <c r="E15" s="31">
        <f>ROUND(C15*'Общие данные'!$B$85/H15,2)*'График аннуитет.'!G15</f>
        <v>1950512.96</v>
      </c>
      <c r="F15" s="31">
        <f>IF(A15&lt;'Общие данные'!$B$82,'График аннуитет.'!F14,'График аннуитет.'!D15+'График аннуитет.'!E15)</f>
        <v>3806012.04</v>
      </c>
      <c r="G15" s="13">
        <f t="shared" si="2"/>
        <v>32</v>
      </c>
      <c r="H15" s="13">
        <f t="shared" si="1"/>
        <v>365</v>
      </c>
    </row>
    <row r="16" spans="1:8" x14ac:dyDescent="0.25">
      <c r="A16" s="16">
        <v>9</v>
      </c>
      <c r="B16" s="30">
        <f>'График дифференц'!B16</f>
        <v>46392</v>
      </c>
      <c r="C16" s="31">
        <f t="shared" si="0"/>
        <v>38595483.199999996</v>
      </c>
      <c r="D16" s="31">
        <f>IF(A16&lt;'Общие данные'!$B$82,'График аннуитет.'!F16-'График аннуитет.'!E16,'График аннуитет.'!C16)</f>
        <v>2119442.2199999997</v>
      </c>
      <c r="E16" s="31">
        <f>ROUND(C16*'Общие данные'!$B$85/H16,2)*'График аннуитет.'!G16</f>
        <v>1686569.82</v>
      </c>
      <c r="F16" s="31">
        <f>IF(A16&lt;'Общие данные'!$B$82,'График аннуитет.'!F15,'График аннуитет.'!D16+'График аннуитет.'!E16)</f>
        <v>3806012.04</v>
      </c>
      <c r="G16" s="13">
        <f t="shared" si="2"/>
        <v>29</v>
      </c>
      <c r="H16" s="13">
        <f t="shared" si="1"/>
        <v>365</v>
      </c>
    </row>
    <row r="17" spans="1:8" x14ac:dyDescent="0.25">
      <c r="A17" s="16">
        <v>10</v>
      </c>
      <c r="B17" s="30">
        <f>'График дифференц'!B17</f>
        <v>46423</v>
      </c>
      <c r="C17" s="31">
        <f t="shared" si="0"/>
        <v>36476040.979999997</v>
      </c>
      <c r="D17" s="31">
        <f>IF(A17&lt;'Общие данные'!$B$82,'График аннуитет.'!F17-'График аннуитет.'!E17,'График аннуитет.'!C17)</f>
        <v>2102131.1399999997</v>
      </c>
      <c r="E17" s="31">
        <f>ROUND(C17*'Общие данные'!$B$85/H17,2)*'График аннуитет.'!G17</f>
        <v>1703880.9000000001</v>
      </c>
      <c r="F17" s="31">
        <f>IF(A17&lt;'Общие данные'!$B$82,'График аннуитет.'!F16,'График аннуитет.'!D17+'График аннуитет.'!E17)</f>
        <v>3806012.04</v>
      </c>
      <c r="G17" s="13">
        <f t="shared" si="2"/>
        <v>31</v>
      </c>
      <c r="H17" s="13">
        <f t="shared" si="1"/>
        <v>365</v>
      </c>
    </row>
    <row r="18" spans="1:8" x14ac:dyDescent="0.25">
      <c r="A18" s="16">
        <v>11</v>
      </c>
      <c r="B18" s="30">
        <f>'График дифференц'!B18</f>
        <v>46451</v>
      </c>
      <c r="C18" s="31">
        <f t="shared" si="0"/>
        <v>34373909.839999996</v>
      </c>
      <c r="D18" s="31">
        <f>IF(A18&lt;'Общие данные'!$B$82,'График аннуитет.'!F18-'График аннуитет.'!E18,'График аннуитет.'!C18)</f>
        <v>2355715.6399999997</v>
      </c>
      <c r="E18" s="31">
        <f>ROUND(C18*'Общие данные'!$B$85/H18,2)*'График аннуитет.'!G18</f>
        <v>1450296.4000000001</v>
      </c>
      <c r="F18" s="31">
        <f>IF(A18&lt;'Общие данные'!$B$82,'График аннуитет.'!F17,'График аннуитет.'!D18+'График аннуитет.'!E18)</f>
        <v>3806012.04</v>
      </c>
      <c r="G18" s="13">
        <f t="shared" si="2"/>
        <v>28</v>
      </c>
      <c r="H18" s="13">
        <f t="shared" si="1"/>
        <v>365</v>
      </c>
    </row>
    <row r="19" spans="1:8" x14ac:dyDescent="0.25">
      <c r="A19" s="16">
        <v>12</v>
      </c>
      <c r="B19" s="30">
        <f>'График дифференц'!B19</f>
        <v>46482</v>
      </c>
      <c r="C19" s="31">
        <f t="shared" si="0"/>
        <v>32018194.199999996</v>
      </c>
      <c r="D19" s="31">
        <f>IF(A19&lt;'Общие данные'!$B$82,'График аннуитет.'!F19-'График аннуитет.'!E19,'График аннуитет.'!C19)</f>
        <v>2310367.75</v>
      </c>
      <c r="E19" s="31">
        <f>ROUND(C19*'Общие данные'!$B$85/H19,2)*'График аннуитет.'!G19</f>
        <v>1495644.2899999998</v>
      </c>
      <c r="F19" s="31">
        <f>IF(A19&lt;'Общие данные'!$B$82,'График аннуитет.'!F18,'График аннуитет.'!D19+'График аннуитет.'!E19)</f>
        <v>3806012.04</v>
      </c>
      <c r="G19" s="13">
        <f>B19-B18</f>
        <v>31</v>
      </c>
      <c r="H19" s="13">
        <f t="shared" si="1"/>
        <v>365</v>
      </c>
    </row>
    <row r="20" spans="1:8" x14ac:dyDescent="0.25">
      <c r="A20" s="16">
        <v>13</v>
      </c>
      <c r="B20" s="30">
        <f>'График дифференц'!B20</f>
        <v>46512</v>
      </c>
      <c r="C20" s="31">
        <f t="shared" si="0"/>
        <v>29707826.449999996</v>
      </c>
      <c r="D20" s="31">
        <f>IF(A20&lt;'Общие данные'!$B$82,'График аннуитет.'!F20-'График аннуитет.'!E20,'График аннуитет.'!C20)</f>
        <v>2463055.44</v>
      </c>
      <c r="E20" s="31">
        <f>ROUND(C20*'Общие данные'!$B$85/H20,2)*'График аннуитет.'!G20</f>
        <v>1342956.6</v>
      </c>
      <c r="F20" s="31">
        <f>IF(A20&lt;'Общие данные'!$B$82,'График аннуитет.'!F19,'График аннуитет.'!D20+'График аннуитет.'!E20)</f>
        <v>3806012.04</v>
      </c>
      <c r="G20" s="13">
        <f t="shared" si="2"/>
        <v>30</v>
      </c>
      <c r="H20" s="13">
        <f t="shared" si="1"/>
        <v>365</v>
      </c>
    </row>
    <row r="21" spans="1:8" x14ac:dyDescent="0.25">
      <c r="A21" s="16">
        <v>14</v>
      </c>
      <c r="B21" s="30">
        <f>'График дифференц'!B21</f>
        <v>46545</v>
      </c>
      <c r="C21" s="31">
        <f t="shared" si="0"/>
        <v>27244771.009999994</v>
      </c>
      <c r="D21" s="31">
        <f>IF(A21&lt;'Общие данные'!$B$82,'График аннуитет.'!F21-'График аннуитет.'!E21,'График аннуитет.'!C21)</f>
        <v>2451237.96</v>
      </c>
      <c r="E21" s="31">
        <f>ROUND(C21*'Общие данные'!$B$85/H21,2)*'График аннуитет.'!G21</f>
        <v>1354774.08</v>
      </c>
      <c r="F21" s="31">
        <f>IF(A21&lt;'Общие данные'!$B$82,'График аннуитет.'!F20,'График аннуитет.'!D21+'График аннуитет.'!E21)</f>
        <v>3806012.04</v>
      </c>
      <c r="G21" s="13">
        <f t="shared" si="2"/>
        <v>33</v>
      </c>
      <c r="H21" s="13">
        <f t="shared" si="1"/>
        <v>365</v>
      </c>
    </row>
    <row r="22" spans="1:8" x14ac:dyDescent="0.25">
      <c r="A22" s="16">
        <v>15</v>
      </c>
      <c r="B22" s="30">
        <f>'График дифференц'!B22</f>
        <v>46573</v>
      </c>
      <c r="C22" s="31">
        <f t="shared" si="0"/>
        <v>24793533.049999993</v>
      </c>
      <c r="D22" s="31">
        <f>IF(A22&lt;'Общие данные'!$B$82,'График аннуитет.'!F22-'График аннуитет.'!E22,'График аннуитет.'!C22)</f>
        <v>2759928.6799999997</v>
      </c>
      <c r="E22" s="31">
        <f>ROUND(C22*'Общие данные'!$B$85/H22,2)*'График аннуитет.'!G22</f>
        <v>1046083.3600000001</v>
      </c>
      <c r="F22" s="31">
        <f>IF(A22&lt;'Общие данные'!$B$82,'График аннуитет.'!F21,'График аннуитет.'!D22+'График аннуитет.'!E22)</f>
        <v>3806012.04</v>
      </c>
      <c r="G22" s="13">
        <f t="shared" si="2"/>
        <v>28</v>
      </c>
      <c r="H22" s="13">
        <f t="shared" si="1"/>
        <v>365</v>
      </c>
    </row>
    <row r="23" spans="1:8" x14ac:dyDescent="0.25">
      <c r="A23" s="16">
        <v>16</v>
      </c>
      <c r="B23" s="30">
        <f>'График дифференц'!B23</f>
        <v>46604</v>
      </c>
      <c r="C23" s="31">
        <f t="shared" si="0"/>
        <v>22033604.369999994</v>
      </c>
      <c r="D23" s="31">
        <f>IF(A23&lt;'Общие данные'!$B$82,'График аннуитет.'!F23-'График аннуитет.'!E23,'График аннуитет.'!C23)</f>
        <v>2776771.12</v>
      </c>
      <c r="E23" s="31">
        <f>ROUND(C23*'Общие данные'!$B$85/H23,2)*'График аннуитет.'!G23</f>
        <v>1029240.92</v>
      </c>
      <c r="F23" s="31">
        <f>IF(A23&lt;'Общие данные'!$B$82,'График аннуитет.'!F22,'График аннуитет.'!D23+'График аннуитет.'!E23)</f>
        <v>3806012.04</v>
      </c>
      <c r="G23" s="13">
        <f t="shared" si="2"/>
        <v>31</v>
      </c>
      <c r="H23" s="13">
        <f t="shared" si="1"/>
        <v>365</v>
      </c>
    </row>
    <row r="24" spans="1:8" x14ac:dyDescent="0.25">
      <c r="A24" s="16">
        <v>17</v>
      </c>
      <c r="B24" s="30">
        <f>'График дифференц'!B24</f>
        <v>46636</v>
      </c>
      <c r="C24" s="31">
        <f t="shared" si="0"/>
        <v>19256833.249999993</v>
      </c>
      <c r="D24" s="31">
        <f>IF(A24&lt;'Общие данные'!$B$82,'График аннуитет.'!F24-'График аннуитет.'!E24,'График аннуитет.'!C24)</f>
        <v>2877463.24</v>
      </c>
      <c r="E24" s="31">
        <f>ROUND(C24*'Общие данные'!$B$85/H24,2)*'График аннуитет.'!G24</f>
        <v>928548.8</v>
      </c>
      <c r="F24" s="31">
        <f>IF(A24&lt;'Общие данные'!$B$82,'График аннуитет.'!F23,'График аннуитет.'!D24+'График аннуитет.'!E24)</f>
        <v>3806012.04</v>
      </c>
      <c r="G24" s="13">
        <f t="shared" si="2"/>
        <v>32</v>
      </c>
      <c r="H24" s="13">
        <f t="shared" si="1"/>
        <v>365</v>
      </c>
    </row>
    <row r="25" spans="1:8" x14ac:dyDescent="0.25">
      <c r="A25" s="16">
        <v>18</v>
      </c>
      <c r="B25" s="30">
        <f>'График дифференц'!B25</f>
        <v>46665</v>
      </c>
      <c r="C25" s="31">
        <f t="shared" si="0"/>
        <v>16379370.009999992</v>
      </c>
      <c r="D25" s="31">
        <f>IF(A25&lt;'Общие данные'!$B$82,'График аннуитет.'!F25-'График аннуитет.'!E25,'График аннуитет.'!C25)</f>
        <v>3090256.08</v>
      </c>
      <c r="E25" s="31">
        <f>ROUND(C25*'Общие данные'!$B$85/H25,2)*'График аннуитет.'!G25</f>
        <v>715755.96000000008</v>
      </c>
      <c r="F25" s="31">
        <f>IF(A25&lt;'Общие данные'!$B$82,'График аннуитет.'!F24,'График аннуитет.'!D25+'График аннуитет.'!E25)</f>
        <v>3806012.04</v>
      </c>
      <c r="G25" s="13">
        <f>B25-B24</f>
        <v>29</v>
      </c>
      <c r="H25" s="13">
        <f t="shared" si="1"/>
        <v>365</v>
      </c>
    </row>
    <row r="26" spans="1:8" x14ac:dyDescent="0.25">
      <c r="A26" s="16">
        <v>19</v>
      </c>
      <c r="B26" s="30">
        <f>'График дифференц'!B26</f>
        <v>46696</v>
      </c>
      <c r="C26" s="31">
        <f t="shared" si="0"/>
        <v>13289113.929999992</v>
      </c>
      <c r="D26" s="31">
        <f>IF(A26&lt;'Общие данные'!$B$82,'График аннуитет.'!F26-'График аннуитет.'!E26,'График аннуитет.'!C26)</f>
        <v>3185246.65</v>
      </c>
      <c r="E26" s="31">
        <f>ROUND(C26*'Общие данные'!$B$85/H26,2)*'График аннуитет.'!G26</f>
        <v>620765.39</v>
      </c>
      <c r="F26" s="31">
        <f>IF(A26&lt;'Общие данные'!$B$82,'График аннуитет.'!F25,'График аннуитет.'!D26+'График аннуитет.'!E26)</f>
        <v>3806012.04</v>
      </c>
      <c r="G26" s="13">
        <f t="shared" ref="G26:G30" si="3">B26-B25</f>
        <v>31</v>
      </c>
      <c r="H26" s="13">
        <f t="shared" si="1"/>
        <v>365</v>
      </c>
    </row>
    <row r="27" spans="1:8" x14ac:dyDescent="0.25">
      <c r="A27" s="16">
        <v>20</v>
      </c>
      <c r="B27" s="30">
        <f>'График дифференц'!B27</f>
        <v>46727</v>
      </c>
      <c r="C27" s="31">
        <f t="shared" si="0"/>
        <v>10103867.279999992</v>
      </c>
      <c r="D27" s="31">
        <f>IF(A27&lt;'Общие данные'!$B$82,'График аннуитет.'!F27-'График аннуитет.'!E27,'График аннуитет.'!C27)</f>
        <v>3334036.73</v>
      </c>
      <c r="E27" s="31">
        <f>ROUND(C27*'Общие данные'!$B$85/H27,2)*'График аннуитет.'!G27</f>
        <v>471975.31</v>
      </c>
      <c r="F27" s="31">
        <f>IF(A27&lt;'Общие данные'!$B$82,'График аннуитет.'!F26,'График аннуитет.'!D27+'График аннуитет.'!E27)</f>
        <v>3806012.04</v>
      </c>
      <c r="G27" s="13">
        <f t="shared" si="3"/>
        <v>31</v>
      </c>
      <c r="H27" s="13">
        <f t="shared" si="1"/>
        <v>365</v>
      </c>
    </row>
    <row r="28" spans="1:8" x14ac:dyDescent="0.25">
      <c r="A28" s="16">
        <v>21</v>
      </c>
      <c r="B28" s="30">
        <f>'График дифференц'!B28</f>
        <v>46757</v>
      </c>
      <c r="C28" s="31">
        <f t="shared" si="0"/>
        <v>6769830.5499999914</v>
      </c>
      <c r="D28" s="31">
        <f>IF(A28&lt;'Общие данные'!$B$82,'График аннуитет.'!F28-'График аннуитет.'!E28,'График аннуитет.'!C28)</f>
        <v>3500814.84</v>
      </c>
      <c r="E28" s="31">
        <f>ROUND(C28*'Общие данные'!$B$85/H28,2)*'График аннуитет.'!G28</f>
        <v>305197.2</v>
      </c>
      <c r="F28" s="31">
        <f>IF(A28&lt;'Общие данные'!$B$82,'График аннуитет.'!F27,'График аннуитет.'!D28+'График аннуитет.'!E28)</f>
        <v>3806012.04</v>
      </c>
      <c r="G28" s="13">
        <f t="shared" si="3"/>
        <v>30</v>
      </c>
      <c r="H28" s="13">
        <f t="shared" si="1"/>
        <v>366</v>
      </c>
    </row>
    <row r="29" spans="1:8" x14ac:dyDescent="0.25">
      <c r="A29" s="16">
        <v>22</v>
      </c>
      <c r="B29" s="30">
        <f>'График дифференц'!B29</f>
        <v>46790</v>
      </c>
      <c r="C29" s="31">
        <f t="shared" si="0"/>
        <v>3269015.7099999916</v>
      </c>
      <c r="D29" s="31">
        <f>IF(A29&lt;'Общие данные'!$B$82,'График аннуитет.'!F29-'График аннуитет.'!E29,'График аннуитет.'!C29)</f>
        <v>3643900.86</v>
      </c>
      <c r="E29" s="31">
        <f>ROUND(C29*'Общие данные'!$B$85/H29,2)*'График аннуитет.'!G29</f>
        <v>162111.18</v>
      </c>
      <c r="F29" s="31">
        <f>IF(A29&lt;'Общие данные'!$B$82,'График аннуитет.'!F28,'График аннуитет.'!D29+'График аннуитет.'!E29)</f>
        <v>3806012.04</v>
      </c>
      <c r="G29" s="13">
        <f t="shared" si="3"/>
        <v>33</v>
      </c>
      <c r="H29" s="13">
        <f t="shared" si="1"/>
        <v>366</v>
      </c>
    </row>
    <row r="30" spans="1:8" x14ac:dyDescent="0.25">
      <c r="A30" s="16">
        <v>23</v>
      </c>
      <c r="B30" s="30">
        <f>'График дифференц'!B30</f>
        <v>46818</v>
      </c>
      <c r="C30" s="31">
        <f t="shared" si="0"/>
        <v>-374885.15000000829</v>
      </c>
      <c r="D30" s="31">
        <f>IF(A30&lt;'Общие данные'!$B$82,'График аннуитет.'!F30-'График аннуитет.'!E30,'График аннуитет.'!C30)</f>
        <v>3821785.84</v>
      </c>
      <c r="E30" s="31">
        <f>ROUND(C30*'Общие данные'!$B$85/H30,2)*'График аннуитет.'!G30</f>
        <v>-15773.800000000001</v>
      </c>
      <c r="F30" s="31">
        <f>IF(A30&lt;'Общие данные'!$B$82,'График аннуитет.'!F29,'График аннуитет.'!D30+'График аннуитет.'!E30)</f>
        <v>3806012.04</v>
      </c>
      <c r="G30" s="13">
        <f t="shared" si="3"/>
        <v>28</v>
      </c>
      <c r="H30" s="13">
        <f t="shared" si="1"/>
        <v>366</v>
      </c>
    </row>
    <row r="31" spans="1:8" x14ac:dyDescent="0.25">
      <c r="A31" s="16">
        <v>24</v>
      </c>
      <c r="B31" s="30">
        <f>'График дифференц'!B31</f>
        <v>46848</v>
      </c>
      <c r="C31" s="31">
        <f t="shared" ref="C31" si="4">C30-D30</f>
        <v>-4196670.9900000077</v>
      </c>
      <c r="D31" s="31">
        <f>IF(A31&lt;'Общие данные'!$B$82,'График аннуитет.'!F31-'График аннуитет.'!E31,'График аннуитет.'!C31)</f>
        <v>3995206.14</v>
      </c>
      <c r="E31" s="31">
        <f>ROUND(C31*'Общие данные'!$B$85/H31,2)*'График аннуитет.'!G31</f>
        <v>-189194.1</v>
      </c>
      <c r="F31" s="31">
        <f>IF(A31&lt;'Общие данные'!$B$82,'График аннуитет.'!F30,'График аннуитет.'!D31+'График аннуитет.'!E31)</f>
        <v>3806012.04</v>
      </c>
      <c r="G31" s="13">
        <f>B31-B30</f>
        <v>30</v>
      </c>
      <c r="H31" s="13">
        <f t="shared" si="1"/>
        <v>366</v>
      </c>
    </row>
    <row r="32" spans="1:8" x14ac:dyDescent="0.25">
      <c r="A32" s="16">
        <f>1+A31</f>
        <v>25</v>
      </c>
      <c r="B32" s="30">
        <f>'График дифференц'!B32</f>
        <v>46878</v>
      </c>
      <c r="C32" s="31">
        <f t="shared" ref="C32:C43" si="5">C31-D31</f>
        <v>-8191877.1300000083</v>
      </c>
      <c r="D32" s="31">
        <f>IF(A32&lt;'Общие данные'!$B$82,'График аннуитет.'!F32-'График аннуитет.'!E32,'График аннуитет.'!C32)</f>
        <v>4175318.04</v>
      </c>
      <c r="E32" s="31">
        <f>ROUND(C32*'Общие данные'!$B$85/H32,2)*'График аннуитет.'!G32</f>
        <v>-369306</v>
      </c>
      <c r="F32" s="31">
        <f>IF(A32&lt;'Общие данные'!$B$82,'График аннуитет.'!F31,'График аннуитет.'!D32+'График аннуитет.'!E32)</f>
        <v>3806012.04</v>
      </c>
      <c r="G32" s="13">
        <f t="shared" ref="G32:G43" si="6">B32-B31</f>
        <v>30</v>
      </c>
      <c r="H32" s="13">
        <f t="shared" ref="H32:H43" si="7">DATE(YEAR(B32),12,31)-DATE(YEAR(B32),1,1)+1</f>
        <v>366</v>
      </c>
    </row>
    <row r="33" spans="1:8" x14ac:dyDescent="0.25">
      <c r="A33" s="16">
        <f t="shared" ref="A33:A55" si="8">1+A32</f>
        <v>26</v>
      </c>
      <c r="B33" s="30">
        <f>'График дифференц'!B33</f>
        <v>46909</v>
      </c>
      <c r="C33" s="31">
        <f t="shared" si="5"/>
        <v>-12367195.170000009</v>
      </c>
      <c r="D33" s="31">
        <f>IF(A33&lt;'Общие данные'!$B$82,'График аннуитет.'!F33-'График аннуитет.'!E33,'График аннуитет.'!C33)</f>
        <v>4382134.0200000005</v>
      </c>
      <c r="E33" s="31">
        <f>ROUND(C33*'Общие данные'!$B$85/H33,2)*'График аннуитет.'!G33</f>
        <v>-576121.9800000001</v>
      </c>
      <c r="F33" s="31">
        <f>IF(A33&lt;'Общие данные'!$B$82,'График аннуитет.'!F32,'График аннуитет.'!D33+'График аннуитет.'!E33)</f>
        <v>3806012.04</v>
      </c>
      <c r="G33" s="13">
        <f t="shared" si="6"/>
        <v>31</v>
      </c>
      <c r="H33" s="13">
        <f t="shared" si="7"/>
        <v>366</v>
      </c>
    </row>
    <row r="34" spans="1:8" x14ac:dyDescent="0.25">
      <c r="A34" s="16">
        <f t="shared" si="8"/>
        <v>27</v>
      </c>
      <c r="B34" s="30">
        <f>'График дифференц'!B34</f>
        <v>46939</v>
      </c>
      <c r="C34" s="31">
        <f t="shared" si="5"/>
        <v>-16749329.190000009</v>
      </c>
      <c r="D34" s="31">
        <f>IF(A34&lt;'Общие данные'!$B$82,'График аннуитет.'!F34-'График аннуитет.'!E34,'График аннуитет.'!C34)</f>
        <v>4561104.84</v>
      </c>
      <c r="E34" s="31">
        <f>ROUND(C34*'Общие данные'!$B$85/H34,2)*'График аннуитет.'!G34</f>
        <v>-755092.79999999993</v>
      </c>
      <c r="F34" s="31">
        <f>IF(A34&lt;'Общие данные'!$B$82,'График аннуитет.'!F33,'График аннуитет.'!D34+'График аннуитет.'!E34)</f>
        <v>3806012.04</v>
      </c>
      <c r="G34" s="13">
        <f t="shared" si="6"/>
        <v>30</v>
      </c>
      <c r="H34" s="13">
        <f t="shared" si="7"/>
        <v>366</v>
      </c>
    </row>
    <row r="35" spans="1:8" x14ac:dyDescent="0.25">
      <c r="A35" s="16">
        <f t="shared" si="8"/>
        <v>28</v>
      </c>
      <c r="B35" s="30">
        <f>'График дифференц'!B35</f>
        <v>46972</v>
      </c>
      <c r="C35" s="31">
        <f t="shared" si="5"/>
        <v>-21310434.030000009</v>
      </c>
      <c r="D35" s="31">
        <f>IF(A35&lt;'Общие данные'!$B$82,'График аннуитет.'!F35-'График аннуитет.'!E35,'График аннуитет.'!C35)</f>
        <v>4862800.08</v>
      </c>
      <c r="E35" s="31">
        <f>ROUND(C35*'Общие данные'!$B$85/H35,2)*'График аннуитет.'!G35</f>
        <v>-1056788.04</v>
      </c>
      <c r="F35" s="31">
        <f>IF(A35&lt;'Общие данные'!$B$82,'График аннуитет.'!F34,'График аннуитет.'!D35+'График аннуитет.'!E35)</f>
        <v>3806012.04</v>
      </c>
      <c r="G35" s="13">
        <f t="shared" si="6"/>
        <v>33</v>
      </c>
      <c r="H35" s="13">
        <f t="shared" si="7"/>
        <v>366</v>
      </c>
    </row>
    <row r="36" spans="1:8" x14ac:dyDescent="0.25">
      <c r="A36" s="16">
        <f t="shared" si="8"/>
        <v>29</v>
      </c>
      <c r="B36" s="30">
        <f>'График дифференц'!B36</f>
        <v>47001</v>
      </c>
      <c r="C36" s="31">
        <f t="shared" si="5"/>
        <v>-26173234.110000007</v>
      </c>
      <c r="D36" s="31">
        <f>IF(A36&lt;'Общие данные'!$B$82,'График аннуитет.'!F36-'График аннуитет.'!E36,'График аннуитет.'!C36)</f>
        <v>4946621.4800000004</v>
      </c>
      <c r="E36" s="31">
        <f>ROUND(C36*'Общие данные'!$B$85/H36,2)*'График аннуитет.'!G36</f>
        <v>-1140609.44</v>
      </c>
      <c r="F36" s="31">
        <f>IF(A36&lt;'Общие данные'!$B$82,'График аннуитет.'!F35,'График аннуитет.'!D36+'График аннуитет.'!E36)</f>
        <v>3806012.04</v>
      </c>
      <c r="G36" s="13">
        <f t="shared" si="6"/>
        <v>29</v>
      </c>
      <c r="H36" s="13">
        <f t="shared" si="7"/>
        <v>366</v>
      </c>
    </row>
    <row r="37" spans="1:8" x14ac:dyDescent="0.25">
      <c r="A37" s="16">
        <f t="shared" si="8"/>
        <v>30</v>
      </c>
      <c r="B37" s="30">
        <f>'График дифференц'!B37</f>
        <v>47031</v>
      </c>
      <c r="C37" s="31">
        <f t="shared" si="5"/>
        <v>-31119855.590000007</v>
      </c>
      <c r="D37" s="31">
        <f>IF(A37&lt;'Общие данные'!$B$82,'График аннуитет.'!F37-'График аннуитет.'!E37,'График аннуитет.'!C37)</f>
        <v>5208956.34</v>
      </c>
      <c r="E37" s="31">
        <f>ROUND(C37*'Общие данные'!$B$85/H37,2)*'График аннуитет.'!G37</f>
        <v>-1402944.2999999998</v>
      </c>
      <c r="F37" s="31">
        <f>IF(A37&lt;'Общие данные'!$B$82,'График аннуитет.'!F36,'График аннуитет.'!D37+'График аннуитет.'!E37)</f>
        <v>3806012.04</v>
      </c>
      <c r="G37" s="13">
        <f t="shared" si="6"/>
        <v>30</v>
      </c>
      <c r="H37" s="13">
        <f t="shared" si="7"/>
        <v>366</v>
      </c>
    </row>
    <row r="38" spans="1:8" x14ac:dyDescent="0.25">
      <c r="A38" s="16">
        <f t="shared" si="8"/>
        <v>31</v>
      </c>
      <c r="B38" s="30">
        <f>'График дифференц'!B38</f>
        <v>47063</v>
      </c>
      <c r="C38" s="31">
        <f t="shared" si="5"/>
        <v>-36328811.930000007</v>
      </c>
      <c r="D38" s="31">
        <f>IF(A38&lt;'Общие данные'!$B$82,'График аннуитет.'!F38-'График аннуитет.'!E38,'График аннуитет.'!C38)</f>
        <v>5552971.4000000004</v>
      </c>
      <c r="E38" s="31">
        <f>ROUND(C38*'Общие данные'!$B$85/H38,2)*'График аннуитет.'!G38</f>
        <v>-1746959.3600000001</v>
      </c>
      <c r="F38" s="31">
        <f>IF(A38&lt;'Общие данные'!$B$82,'График аннуитет.'!F37,'График аннуитет.'!D38+'График аннуитет.'!E38)</f>
        <v>3806012.04</v>
      </c>
      <c r="G38" s="13">
        <f t="shared" si="6"/>
        <v>32</v>
      </c>
      <c r="H38" s="13">
        <f t="shared" si="7"/>
        <v>366</v>
      </c>
    </row>
    <row r="39" spans="1:8" x14ac:dyDescent="0.25">
      <c r="A39" s="16">
        <f t="shared" si="8"/>
        <v>32</v>
      </c>
      <c r="B39" s="30">
        <f>'График дифференц'!B39</f>
        <v>47092</v>
      </c>
      <c r="C39" s="31">
        <f t="shared" si="5"/>
        <v>-41881783.330000006</v>
      </c>
      <c r="D39" s="31">
        <f>IF(A39&lt;'Общие данные'!$B$82,'График аннуитет.'!F39-'График аннуитет.'!E39,'График аннуитет.'!C39)</f>
        <v>5631188.2300000004</v>
      </c>
      <c r="E39" s="31">
        <f>ROUND(C39*'Общие данные'!$B$85/H39,2)*'График аннуитет.'!G39</f>
        <v>-1825176.19</v>
      </c>
      <c r="F39" s="31">
        <f>IF(A39&lt;'Общие данные'!$B$82,'График аннуитет.'!F38,'График аннуитет.'!D39+'График аннуитет.'!E39)</f>
        <v>3806012.04</v>
      </c>
      <c r="G39" s="13">
        <f t="shared" si="6"/>
        <v>29</v>
      </c>
      <c r="H39" s="13">
        <f t="shared" si="7"/>
        <v>366</v>
      </c>
    </row>
    <row r="40" spans="1:8" x14ac:dyDescent="0.25">
      <c r="A40" s="16">
        <f t="shared" si="8"/>
        <v>33</v>
      </c>
      <c r="B40" s="30">
        <f>'График дифференц'!B40</f>
        <v>47123</v>
      </c>
      <c r="C40" s="31">
        <f t="shared" si="5"/>
        <v>-47512971.560000002</v>
      </c>
      <c r="D40" s="31">
        <f>IF(A40&lt;'Общие данные'!$B$82,'График аннуитет.'!F40-'График аннуитет.'!E40,'График аннуитет.'!C40)</f>
        <v>6025453.6299999999</v>
      </c>
      <c r="E40" s="31">
        <f>ROUND(C40*'Общие данные'!$B$85/H40,2)*'График аннуитет.'!G40</f>
        <v>-2219441.59</v>
      </c>
      <c r="F40" s="31">
        <f>IF(A40&lt;'Общие данные'!$B$82,'График аннуитет.'!F39,'График аннуитет.'!D40+'График аннуитет.'!E40)</f>
        <v>3806012.04</v>
      </c>
      <c r="G40" s="13">
        <f t="shared" si="6"/>
        <v>31</v>
      </c>
      <c r="H40" s="13">
        <f t="shared" si="7"/>
        <v>365</v>
      </c>
    </row>
    <row r="41" spans="1:8" x14ac:dyDescent="0.25">
      <c r="A41" s="16">
        <f t="shared" si="8"/>
        <v>34</v>
      </c>
      <c r="B41" s="30">
        <f>'График дифференц'!B41</f>
        <v>47154</v>
      </c>
      <c r="C41" s="31">
        <f t="shared" si="5"/>
        <v>-53538425.190000005</v>
      </c>
      <c r="D41" s="31">
        <f>IF(A41&lt;'Общие данные'!$B$82,'График аннуитет.'!F41-'График аннуитет.'!E41,'График аннуитет.'!C41)</f>
        <v>6306916.5800000001</v>
      </c>
      <c r="E41" s="31">
        <f>ROUND(C41*'Общие данные'!$B$85/H41,2)*'График аннуитет.'!G41</f>
        <v>-2500904.54</v>
      </c>
      <c r="F41" s="31">
        <f>IF(A41&lt;'Общие данные'!$B$82,'График аннуитет.'!F40,'График аннуитет.'!D41+'График аннуитет.'!E41)</f>
        <v>3806012.04</v>
      </c>
      <c r="G41" s="13">
        <f t="shared" si="6"/>
        <v>31</v>
      </c>
      <c r="H41" s="13">
        <f t="shared" si="7"/>
        <v>365</v>
      </c>
    </row>
    <row r="42" spans="1:8" x14ac:dyDescent="0.25">
      <c r="A42" s="16">
        <f t="shared" si="8"/>
        <v>35</v>
      </c>
      <c r="B42" s="30">
        <f>'График дифференц'!B42</f>
        <v>47182</v>
      </c>
      <c r="C42" s="31">
        <f t="shared" si="5"/>
        <v>-59845341.770000003</v>
      </c>
      <c r="D42" s="31">
        <f>IF(A42&lt;'Общие данные'!$B$82,'График аннуитет.'!F42-'График аннуитет.'!E42,'График аннуитет.'!C42)</f>
        <v>6330993.5199999996</v>
      </c>
      <c r="E42" s="31">
        <f>ROUND(C42*'Общие данные'!$B$85/H42,2)*'График аннуитет.'!G42</f>
        <v>-2524981.48</v>
      </c>
      <c r="F42" s="31">
        <f>IF(A42&lt;'Общие данные'!$B$82,'График аннуитет.'!F41,'График аннуитет.'!D42+'График аннуитет.'!E42)</f>
        <v>3806012.04</v>
      </c>
      <c r="G42" s="13">
        <f t="shared" si="6"/>
        <v>28</v>
      </c>
      <c r="H42" s="13">
        <f t="shared" si="7"/>
        <v>365</v>
      </c>
    </row>
    <row r="43" spans="1:8" x14ac:dyDescent="0.25">
      <c r="A43" s="16">
        <f t="shared" si="8"/>
        <v>36</v>
      </c>
      <c r="B43" s="30">
        <f>'График дифференц'!B43</f>
        <v>47215</v>
      </c>
      <c r="C43" s="31">
        <f t="shared" si="5"/>
        <v>-66176335.290000007</v>
      </c>
      <c r="D43" s="31">
        <f>IF(A43&lt;'Общие данные'!$B$82,'График аннуитет.'!F43-'График аннуитет.'!E43,'График аннуитет.'!C43)</f>
        <v>-66176335.290000007</v>
      </c>
      <c r="E43" s="31">
        <f>ROUND(C43*'Общие данные'!$B$85/H43,2)*'График аннуитет.'!G43</f>
        <v>-3290686.41</v>
      </c>
      <c r="F43" s="31">
        <f>IF(A43&lt;'Общие данные'!$B$82,'График аннуитет.'!F42,'График аннуитет.'!D43+'График аннуитет.'!E43)</f>
        <v>-69467021.700000003</v>
      </c>
      <c r="G43" s="13">
        <f t="shared" si="6"/>
        <v>33</v>
      </c>
      <c r="H43" s="13">
        <f t="shared" si="7"/>
        <v>365</v>
      </c>
    </row>
    <row r="44" spans="1:8" x14ac:dyDescent="0.25">
      <c r="A44" s="16">
        <f t="shared" si="8"/>
        <v>37</v>
      </c>
      <c r="B44" s="30" t="b">
        <f>'График дифференц'!B44</f>
        <v>0</v>
      </c>
      <c r="C44" s="31">
        <f t="shared" ref="C44:C55" si="9">C43-D43</f>
        <v>0</v>
      </c>
      <c r="D44" s="31">
        <f>IF(A44&lt;'Общие данные'!$B$82,'График аннуитет.'!F44-'График аннуитет.'!E44,'График аннуитет.'!C44)</f>
        <v>0</v>
      </c>
      <c r="E44" s="31">
        <f>ROUND(C44*'Общие данные'!$B$85/H44,2)*'График аннуитет.'!G44</f>
        <v>0</v>
      </c>
      <c r="F44" s="31">
        <f>IF(A44&lt;'Общие данные'!$B$82,'График аннуитет.'!F43,'График аннуитет.'!D44+'График аннуитет.'!E44)</f>
        <v>0</v>
      </c>
      <c r="G44" s="13">
        <f t="shared" ref="G44:G55" si="10">B44-B43</f>
        <v>-47215</v>
      </c>
      <c r="H44" s="13">
        <f t="shared" ref="H44:H55" si="11">DATE(YEAR(B44),12,31)-DATE(YEAR(B44),1,1)+1</f>
        <v>366</v>
      </c>
    </row>
    <row r="45" spans="1:8" x14ac:dyDescent="0.25">
      <c r="A45" s="16">
        <f t="shared" si="8"/>
        <v>38</v>
      </c>
      <c r="B45" s="30" t="b">
        <f>'График дифференц'!B45</f>
        <v>0</v>
      </c>
      <c r="C45" s="31">
        <f t="shared" si="9"/>
        <v>0</v>
      </c>
      <c r="D45" s="31">
        <f>IF(A45&lt;'Общие данные'!$B$82,'График аннуитет.'!F45-'График аннуитет.'!E45,'График аннуитет.'!C45)</f>
        <v>0</v>
      </c>
      <c r="E45" s="31">
        <f>ROUND(C45*'Общие данные'!$B$85/H45,2)*'График аннуитет.'!G45</f>
        <v>0</v>
      </c>
      <c r="F45" s="31">
        <f>IF(A45&lt;'Общие данные'!$B$82,'График аннуитет.'!F44,'График аннуитет.'!D45+'График аннуитет.'!E45)</f>
        <v>0</v>
      </c>
      <c r="G45" s="13">
        <f t="shared" si="10"/>
        <v>0</v>
      </c>
      <c r="H45" s="13">
        <f t="shared" si="11"/>
        <v>366</v>
      </c>
    </row>
    <row r="46" spans="1:8" x14ac:dyDescent="0.25">
      <c r="A46" s="16">
        <f t="shared" si="8"/>
        <v>39</v>
      </c>
      <c r="B46" s="30" t="b">
        <f>'График дифференц'!B46</f>
        <v>0</v>
      </c>
      <c r="C46" s="31">
        <f t="shared" si="9"/>
        <v>0</v>
      </c>
      <c r="D46" s="31">
        <f>IF(A46&lt;'Общие данные'!$B$82,'График аннуитет.'!F46-'График аннуитет.'!E46,'График аннуитет.'!C46)</f>
        <v>0</v>
      </c>
      <c r="E46" s="31">
        <f>ROUND(C46*'Общие данные'!$B$85/H46,2)*'График аннуитет.'!G46</f>
        <v>0</v>
      </c>
      <c r="F46" s="31">
        <f>IF(A46&lt;'Общие данные'!$B$82,'График аннуитет.'!F45,'График аннуитет.'!D46+'График аннуитет.'!E46)</f>
        <v>0</v>
      </c>
      <c r="G46" s="13">
        <f t="shared" si="10"/>
        <v>0</v>
      </c>
      <c r="H46" s="13">
        <f t="shared" si="11"/>
        <v>366</v>
      </c>
    </row>
    <row r="47" spans="1:8" x14ac:dyDescent="0.25">
      <c r="A47" s="16">
        <f t="shared" si="8"/>
        <v>40</v>
      </c>
      <c r="B47" s="30" t="b">
        <f>'График дифференц'!B47</f>
        <v>0</v>
      </c>
      <c r="C47" s="31">
        <f t="shared" si="9"/>
        <v>0</v>
      </c>
      <c r="D47" s="31">
        <f>IF(A47&lt;'Общие данные'!$B$82,'График аннуитет.'!F47-'График аннуитет.'!E47,'График аннуитет.'!C47)</f>
        <v>0</v>
      </c>
      <c r="E47" s="31">
        <f>ROUND(C47*'Общие данные'!$B$85/H47,2)*'График аннуитет.'!G47</f>
        <v>0</v>
      </c>
      <c r="F47" s="31">
        <f>IF(A47&lt;'Общие данные'!$B$82,'График аннуитет.'!F46,'График аннуитет.'!D47+'График аннуитет.'!E47)</f>
        <v>0</v>
      </c>
      <c r="G47" s="13">
        <f t="shared" si="10"/>
        <v>0</v>
      </c>
      <c r="H47" s="13">
        <f t="shared" si="11"/>
        <v>366</v>
      </c>
    </row>
    <row r="48" spans="1:8" x14ac:dyDescent="0.25">
      <c r="A48" s="16">
        <f t="shared" si="8"/>
        <v>41</v>
      </c>
      <c r="B48" s="30" t="b">
        <f>'График дифференц'!B48</f>
        <v>0</v>
      </c>
      <c r="C48" s="31">
        <f t="shared" si="9"/>
        <v>0</v>
      </c>
      <c r="D48" s="31">
        <f>IF(A48&lt;'Общие данные'!$B$82,'График аннуитет.'!F48-'График аннуитет.'!E48,'График аннуитет.'!C48)</f>
        <v>0</v>
      </c>
      <c r="E48" s="31">
        <f>ROUND(C48*'Общие данные'!$B$85/H48,2)*'График аннуитет.'!G48</f>
        <v>0</v>
      </c>
      <c r="F48" s="31">
        <f>IF(A48&lt;'Общие данные'!$B$82,'График аннуитет.'!F47,'График аннуитет.'!D48+'График аннуитет.'!E48)</f>
        <v>0</v>
      </c>
      <c r="G48" s="13">
        <f t="shared" si="10"/>
        <v>0</v>
      </c>
      <c r="H48" s="13">
        <f t="shared" si="11"/>
        <v>366</v>
      </c>
    </row>
    <row r="49" spans="1:8" x14ac:dyDescent="0.25">
      <c r="A49" s="16">
        <f t="shared" si="8"/>
        <v>42</v>
      </c>
      <c r="B49" s="30" t="b">
        <f>'График дифференц'!B49</f>
        <v>0</v>
      </c>
      <c r="C49" s="31">
        <f t="shared" si="9"/>
        <v>0</v>
      </c>
      <c r="D49" s="31">
        <f>IF(A49&lt;'Общие данные'!$B$82,'График аннуитет.'!F49-'График аннуитет.'!E49,'График аннуитет.'!C49)</f>
        <v>0</v>
      </c>
      <c r="E49" s="31">
        <f>ROUND(C49*'Общие данные'!$B$85/H49,2)*'График аннуитет.'!G49</f>
        <v>0</v>
      </c>
      <c r="F49" s="31">
        <f>IF(A49&lt;'Общие данные'!$B$82,'График аннуитет.'!F48,'График аннуитет.'!D49+'График аннуитет.'!E49)</f>
        <v>0</v>
      </c>
      <c r="G49" s="13">
        <f t="shared" si="10"/>
        <v>0</v>
      </c>
      <c r="H49" s="13">
        <f t="shared" si="11"/>
        <v>366</v>
      </c>
    </row>
    <row r="50" spans="1:8" x14ac:dyDescent="0.25">
      <c r="A50" s="16">
        <f t="shared" si="8"/>
        <v>43</v>
      </c>
      <c r="B50" s="30" t="b">
        <f>'График дифференц'!B50</f>
        <v>0</v>
      </c>
      <c r="C50" s="31">
        <f t="shared" si="9"/>
        <v>0</v>
      </c>
      <c r="D50" s="31">
        <f>IF(A50&lt;'Общие данные'!$B$82,'График аннуитет.'!F50-'График аннуитет.'!E50,'График аннуитет.'!C50)</f>
        <v>0</v>
      </c>
      <c r="E50" s="31">
        <f>ROUND(C50*'Общие данные'!$B$85/H50,2)*'График аннуитет.'!G50</f>
        <v>0</v>
      </c>
      <c r="F50" s="31">
        <f>IF(A50&lt;'Общие данные'!$B$82,'График аннуитет.'!F49,'График аннуитет.'!D50+'График аннуитет.'!E50)</f>
        <v>0</v>
      </c>
      <c r="G50" s="13">
        <f t="shared" si="10"/>
        <v>0</v>
      </c>
      <c r="H50" s="13">
        <f t="shared" si="11"/>
        <v>366</v>
      </c>
    </row>
    <row r="51" spans="1:8" x14ac:dyDescent="0.25">
      <c r="A51" s="16">
        <f t="shared" si="8"/>
        <v>44</v>
      </c>
      <c r="B51" s="30" t="b">
        <f>'График дифференц'!B51</f>
        <v>0</v>
      </c>
      <c r="C51" s="31">
        <f t="shared" si="9"/>
        <v>0</v>
      </c>
      <c r="D51" s="31">
        <f>IF(A51&lt;'Общие данные'!$B$82,'График аннуитет.'!F51-'График аннуитет.'!E51,'График аннуитет.'!C51)</f>
        <v>0</v>
      </c>
      <c r="E51" s="31">
        <f>ROUND(C51*'Общие данные'!$B$85/H51,2)*'График аннуитет.'!G51</f>
        <v>0</v>
      </c>
      <c r="F51" s="31">
        <f>IF(A51&lt;'Общие данные'!$B$82,'График аннуитет.'!F50,'График аннуитет.'!D51+'График аннуитет.'!E51)</f>
        <v>0</v>
      </c>
      <c r="G51" s="13">
        <f t="shared" si="10"/>
        <v>0</v>
      </c>
      <c r="H51" s="13">
        <f t="shared" si="11"/>
        <v>366</v>
      </c>
    </row>
    <row r="52" spans="1:8" x14ac:dyDescent="0.25">
      <c r="A52" s="16">
        <f t="shared" si="8"/>
        <v>45</v>
      </c>
      <c r="B52" s="30" t="b">
        <f>'График дифференц'!B52</f>
        <v>0</v>
      </c>
      <c r="C52" s="31">
        <f t="shared" si="9"/>
        <v>0</v>
      </c>
      <c r="D52" s="31">
        <f>IF(A52&lt;'Общие данные'!$B$82,'График аннуитет.'!F52-'График аннуитет.'!E52,'График аннуитет.'!C52)</f>
        <v>0</v>
      </c>
      <c r="E52" s="31">
        <f>ROUND(C52*'Общие данные'!$B$85/H52,2)*'График аннуитет.'!G52</f>
        <v>0</v>
      </c>
      <c r="F52" s="31">
        <f>IF(A52&lt;'Общие данные'!$B$82,'График аннуитет.'!F51,'График аннуитет.'!D52+'График аннуитет.'!E52)</f>
        <v>0</v>
      </c>
      <c r="G52" s="13">
        <f t="shared" si="10"/>
        <v>0</v>
      </c>
      <c r="H52" s="13">
        <f t="shared" si="11"/>
        <v>366</v>
      </c>
    </row>
    <row r="53" spans="1:8" x14ac:dyDescent="0.25">
      <c r="A53" s="16">
        <f t="shared" si="8"/>
        <v>46</v>
      </c>
      <c r="B53" s="30" t="b">
        <f>'График дифференц'!B53</f>
        <v>0</v>
      </c>
      <c r="C53" s="31">
        <f t="shared" si="9"/>
        <v>0</v>
      </c>
      <c r="D53" s="31">
        <f>IF(A53&lt;'Общие данные'!$B$82,'График аннуитет.'!F53-'График аннуитет.'!E53,'График аннуитет.'!C53)</f>
        <v>0</v>
      </c>
      <c r="E53" s="31">
        <f>ROUND(C53*'Общие данные'!$B$85/H53,2)*'График аннуитет.'!G53</f>
        <v>0</v>
      </c>
      <c r="F53" s="31">
        <f>IF(A53&lt;'Общие данные'!$B$82,'График аннуитет.'!F52,'График аннуитет.'!D53+'График аннуитет.'!E53)</f>
        <v>0</v>
      </c>
      <c r="G53" s="13">
        <f t="shared" si="10"/>
        <v>0</v>
      </c>
      <c r="H53" s="13">
        <f t="shared" si="11"/>
        <v>366</v>
      </c>
    </row>
    <row r="54" spans="1:8" x14ac:dyDescent="0.25">
      <c r="A54" s="16">
        <f t="shared" si="8"/>
        <v>47</v>
      </c>
      <c r="B54" s="30" t="b">
        <f>'График дифференц'!B54</f>
        <v>0</v>
      </c>
      <c r="C54" s="31">
        <f t="shared" si="9"/>
        <v>0</v>
      </c>
      <c r="D54" s="31">
        <f>IF(A54&lt;'Общие данные'!$B$82,'График аннуитет.'!F54-'График аннуитет.'!E54,'График аннуитет.'!C54)</f>
        <v>0</v>
      </c>
      <c r="E54" s="31">
        <f>ROUND(C54*'Общие данные'!$B$85/H54,2)*'График аннуитет.'!G54</f>
        <v>0</v>
      </c>
      <c r="F54" s="31">
        <f>IF(A54&lt;'Общие данные'!$B$82,'График аннуитет.'!F53,'График аннуитет.'!D54+'График аннуитет.'!E54)</f>
        <v>0</v>
      </c>
      <c r="G54" s="13">
        <f t="shared" si="10"/>
        <v>0</v>
      </c>
      <c r="H54" s="13">
        <f t="shared" si="11"/>
        <v>366</v>
      </c>
    </row>
    <row r="55" spans="1:8" x14ac:dyDescent="0.25">
      <c r="A55" s="16">
        <f t="shared" si="8"/>
        <v>48</v>
      </c>
      <c r="B55" s="30" t="b">
        <f>'График дифференц'!B55</f>
        <v>0</v>
      </c>
      <c r="C55" s="31">
        <f t="shared" si="9"/>
        <v>0</v>
      </c>
      <c r="D55" s="31">
        <f>IF(A55&lt;'Общие данные'!$B$82,'График аннуитет.'!F55-'График аннуитет.'!E55,'График аннуитет.'!C55)</f>
        <v>0</v>
      </c>
      <c r="E55" s="31">
        <f>ROUND(C55*'Общие данные'!$B$85/H55,2)*'График аннуитет.'!G55</f>
        <v>0</v>
      </c>
      <c r="F55" s="31">
        <f>IF(A55&lt;'Общие данные'!$B$82,'График аннуитет.'!F54,'График аннуитет.'!D55+'График аннуитет.'!E55)</f>
        <v>0</v>
      </c>
      <c r="G55" s="13">
        <f t="shared" si="10"/>
        <v>0</v>
      </c>
      <c r="H55" s="13">
        <f t="shared" si="11"/>
        <v>366</v>
      </c>
    </row>
    <row r="56" spans="1:8" x14ac:dyDescent="0.25">
      <c r="A56" s="43"/>
      <c r="B56" s="44" t="s">
        <v>6</v>
      </c>
      <c r="C56" s="45"/>
      <c r="D56" s="45">
        <f>SUM(D8:D55)</f>
        <v>52000000</v>
      </c>
      <c r="E56" s="45">
        <f t="shared" ref="E56:F56" si="12">SUM(E8:E55)</f>
        <v>11743399.699999996</v>
      </c>
      <c r="F56" s="45">
        <f t="shared" si="12"/>
        <v>63743399.700000107</v>
      </c>
    </row>
    <row r="57" spans="1:8" ht="9" customHeight="1" x14ac:dyDescent="0.25">
      <c r="B57" s="32"/>
      <c r="C57" s="33"/>
      <c r="D57" s="33"/>
      <c r="E57" s="33"/>
      <c r="F57" s="33"/>
    </row>
    <row r="58" spans="1:8" ht="47.25" customHeight="1" x14ac:dyDescent="0.25">
      <c r="A58" s="270" t="s">
        <v>16</v>
      </c>
      <c r="B58" s="270"/>
      <c r="C58" s="270"/>
      <c r="D58" s="270"/>
      <c r="E58" s="270"/>
      <c r="F58" s="270"/>
    </row>
    <row r="59" spans="1:8" ht="7.5" customHeight="1" x14ac:dyDescent="0.25"/>
    <row r="60" spans="1:8" x14ac:dyDescent="0.25">
      <c r="A60" s="328" t="e">
        <f>#REF!</f>
        <v>#REF!</v>
      </c>
      <c r="B60" s="328"/>
      <c r="C60" s="328"/>
      <c r="D60" s="328" t="e">
        <f>#REF!</f>
        <v>#REF!</v>
      </c>
      <c r="E60" s="328"/>
      <c r="F60" s="328"/>
    </row>
    <row r="61" spans="1:8" ht="11.25" customHeight="1" x14ac:dyDescent="0.25">
      <c r="A61" s="329"/>
      <c r="B61" s="329"/>
      <c r="C61" s="329"/>
      <c r="D61" s="329"/>
      <c r="E61" s="329"/>
      <c r="F61" s="329"/>
    </row>
    <row r="62" spans="1:8" ht="30" customHeight="1" x14ac:dyDescent="0.25">
      <c r="A62" s="311" t="e">
        <f>#REF!</f>
        <v>#REF!</v>
      </c>
      <c r="B62" s="311"/>
      <c r="C62" s="311"/>
      <c r="D62" s="311" t="e">
        <f>#REF!</f>
        <v>#REF!</v>
      </c>
      <c r="E62" s="311"/>
      <c r="F62" s="311"/>
    </row>
    <row r="63" spans="1:8" ht="32.25" customHeight="1" x14ac:dyDescent="0.25">
      <c r="A63" s="330" t="e">
        <f>#REF!</f>
        <v>#REF!</v>
      </c>
      <c r="B63" s="330"/>
      <c r="C63" s="330"/>
      <c r="D63" s="330" t="e">
        <f>#REF!</f>
        <v>#REF!</v>
      </c>
      <c r="E63" s="330"/>
      <c r="F63" s="330"/>
    </row>
    <row r="64" spans="1:8" x14ac:dyDescent="0.25">
      <c r="A64" s="330" t="e">
        <f>#REF!</f>
        <v>#REF!</v>
      </c>
      <c r="B64" s="330"/>
      <c r="C64" s="330"/>
      <c r="D64" s="330" t="str">
        <f>"паспорт серии "&amp;'Общие данные'!B16&amp;", "&amp;'Общие данные'!B20&amp;""</f>
        <v>паспорт серии AD 9213848 , IIV 61013  tomonidan 31.10.2024 yilda berilgan</v>
      </c>
      <c r="E64" s="330"/>
      <c r="F64" s="330"/>
    </row>
    <row r="65" spans="1:6" ht="32.25" customHeight="1" x14ac:dyDescent="0.25">
      <c r="A65" s="330" t="e">
        <f>#REF!</f>
        <v>#REF!</v>
      </c>
      <c r="B65" s="330"/>
      <c r="C65" s="330"/>
      <c r="D65" s="330"/>
      <c r="E65" s="330"/>
      <c r="F65" s="330"/>
    </row>
    <row r="66" spans="1:6" x14ac:dyDescent="0.25">
      <c r="A66" s="330" t="e">
        <f>#REF!</f>
        <v>#REF!</v>
      </c>
      <c r="B66" s="330"/>
      <c r="C66" s="330"/>
      <c r="D66" s="330" t="e">
        <f>#REF!</f>
        <v>#REF!</v>
      </c>
      <c r="E66" s="330"/>
      <c r="F66" s="330"/>
    </row>
    <row r="67" spans="1:6" x14ac:dyDescent="0.25">
      <c r="A67" s="330" t="e">
        <f>#REF!</f>
        <v>#REF!</v>
      </c>
      <c r="B67" s="330"/>
      <c r="C67" s="330"/>
      <c r="D67" s="330" t="e">
        <f>#REF!</f>
        <v>#REF!</v>
      </c>
      <c r="E67" s="330"/>
      <c r="F67" s="330"/>
    </row>
    <row r="68" spans="1:6" x14ac:dyDescent="0.25">
      <c r="A68" s="330" t="e">
        <f>#REF!</f>
        <v>#REF!</v>
      </c>
      <c r="B68" s="330"/>
      <c r="C68" s="330"/>
      <c r="D68" s="330" t="e">
        <f>#REF!</f>
        <v>#REF!</v>
      </c>
      <c r="E68" s="330"/>
      <c r="F68" s="330"/>
    </row>
    <row r="69" spans="1:6" ht="8.25" customHeight="1" x14ac:dyDescent="0.25">
      <c r="A69" s="330"/>
      <c r="B69" s="330"/>
      <c r="C69" s="330"/>
      <c r="D69" s="330"/>
      <c r="E69" s="330"/>
      <c r="F69" s="330"/>
    </row>
    <row r="70" spans="1:6" x14ac:dyDescent="0.25">
      <c r="A70" s="311" t="e">
        <f>#REF!</f>
        <v>#REF!</v>
      </c>
      <c r="B70" s="311"/>
      <c r="C70" s="311"/>
      <c r="D70" s="311" t="e">
        <f>#REF!</f>
        <v>#REF!</v>
      </c>
      <c r="E70" s="311"/>
      <c r="F70" s="311"/>
    </row>
    <row r="71" spans="1:6" ht="7.5" customHeight="1" x14ac:dyDescent="0.25">
      <c r="A71" s="311"/>
      <c r="B71" s="311"/>
      <c r="C71" s="311"/>
      <c r="D71" s="311"/>
      <c r="E71" s="311"/>
      <c r="F71" s="311"/>
    </row>
    <row r="72" spans="1:6" x14ac:dyDescent="0.25">
      <c r="A72" s="311" t="e">
        <f>#REF!</f>
        <v>#REF!</v>
      </c>
      <c r="B72" s="311"/>
      <c r="C72" s="311"/>
      <c r="D72" s="311" t="e">
        <f>#REF!</f>
        <v>#REF!</v>
      </c>
      <c r="E72" s="311"/>
      <c r="F72" s="311"/>
    </row>
    <row r="73" spans="1:6" ht="8.25" customHeight="1" x14ac:dyDescent="0.25">
      <c r="A73" s="330"/>
      <c r="B73" s="330"/>
      <c r="C73" s="330"/>
      <c r="D73" s="330"/>
      <c r="E73" s="330"/>
      <c r="F73" s="330"/>
    </row>
    <row r="74" spans="1:6" ht="30" customHeight="1" x14ac:dyDescent="0.25">
      <c r="A74" s="333"/>
      <c r="B74" s="333"/>
      <c r="C74" s="333"/>
      <c r="D74" s="334"/>
      <c r="E74" s="334"/>
      <c r="F74" s="334"/>
    </row>
    <row r="75" spans="1:6" x14ac:dyDescent="0.25">
      <c r="A75" s="335"/>
      <c r="B75" s="335"/>
      <c r="C75" s="335"/>
      <c r="D75" s="335"/>
      <c r="E75" s="335"/>
      <c r="F75" s="335"/>
    </row>
    <row r="76" spans="1:6" x14ac:dyDescent="0.25">
      <c r="A76" s="332"/>
      <c r="B76" s="332"/>
      <c r="C76" s="332"/>
      <c r="D76" s="332"/>
      <c r="E76" s="332"/>
      <c r="F76" s="332"/>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55">
    <cfRule type="cellIs" dxfId="2" priority="3" operator="lessThan">
      <formula>22105</formula>
    </cfRule>
  </conditionalFormatting>
  <conditionalFormatting sqref="C8:C55">
    <cfRule type="cellIs" dxfId="1" priority="2" operator="lessThan">
      <formula>1</formula>
    </cfRule>
  </conditionalFormatting>
  <conditionalFormatting sqref="C8:F55">
    <cfRule type="cellIs" dxfId="0" priority="1" operator="lessThan">
      <formula>0.1</formula>
    </cfRule>
  </conditionalFormatting>
  <pageMargins left="0.7" right="0.7" top="0.75" bottom="0.75" header="0.3" footer="0.3"/>
  <pageSetup paperSize="9" scale="92"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00B050"/>
  </sheetPr>
  <dimension ref="B1:G42"/>
  <sheetViews>
    <sheetView view="pageBreakPreview" zoomScaleSheetLayoutView="100" workbookViewId="0">
      <selection activeCell="B17" sqref="B17"/>
    </sheetView>
  </sheetViews>
  <sheetFormatPr defaultColWidth="9.140625" defaultRowHeight="15" x14ac:dyDescent="0.25"/>
  <cols>
    <col min="1" max="1" width="3.42578125" style="13" customWidth="1"/>
    <col min="2" max="3" width="17.85546875" style="18" customWidth="1"/>
    <col min="4" max="4" width="15" style="18" customWidth="1"/>
    <col min="5" max="5" width="17.85546875" style="18" customWidth="1"/>
    <col min="6" max="6" width="9" style="18" customWidth="1"/>
    <col min="7" max="7" width="4.7109375" style="18" customWidth="1"/>
    <col min="8" max="16384" width="9.140625" style="13"/>
  </cols>
  <sheetData>
    <row r="1" spans="2:7" ht="15.75" thickBot="1" x14ac:dyDescent="0.3"/>
    <row r="2" spans="2:7" ht="62.25" customHeight="1" x14ac:dyDescent="0.35">
      <c r="B2" s="364" t="str">
        <f>'Общие данные'!B159</f>
        <v>«PULLOL BUSINESS MIKROMOLIYA TASHKILOTI»  MChJ</v>
      </c>
      <c r="C2" s="365"/>
      <c r="D2" s="365"/>
      <c r="E2" s="365"/>
      <c r="F2" s="366"/>
      <c r="G2" s="38"/>
    </row>
    <row r="3" spans="2:7" x14ac:dyDescent="0.25">
      <c r="B3" s="359"/>
      <c r="C3" s="335"/>
      <c r="D3" s="335"/>
      <c r="E3" s="335"/>
      <c r="F3" s="360"/>
      <c r="G3" s="39"/>
    </row>
    <row r="4" spans="2:7" ht="8.25" customHeight="1" x14ac:dyDescent="0.25">
      <c r="B4" s="51"/>
      <c r="F4" s="52"/>
      <c r="G4" s="39"/>
    </row>
    <row r="5" spans="2:7" ht="12" customHeight="1" x14ac:dyDescent="0.25">
      <c r="B5" s="41"/>
      <c r="C5" s="39"/>
      <c r="D5" s="39"/>
      <c r="E5" s="39"/>
      <c r="F5" s="42"/>
      <c r="G5" s="39"/>
    </row>
    <row r="6" spans="2:7" ht="6.75" customHeight="1" x14ac:dyDescent="0.25">
      <c r="B6" s="41"/>
      <c r="C6" s="39"/>
      <c r="D6" s="39"/>
      <c r="E6" s="39"/>
      <c r="F6" s="42"/>
      <c r="G6" s="39"/>
    </row>
    <row r="7" spans="2:7" ht="6.75" customHeight="1" x14ac:dyDescent="0.25">
      <c r="B7" s="41"/>
      <c r="C7" s="39"/>
      <c r="D7" s="39"/>
      <c r="E7" s="39"/>
      <c r="F7" s="42"/>
      <c r="G7" s="39"/>
    </row>
    <row r="8" spans="2:7" x14ac:dyDescent="0.25">
      <c r="B8" s="41"/>
      <c r="C8" s="39"/>
      <c r="D8" s="39"/>
      <c r="E8" s="39"/>
      <c r="F8" s="42"/>
      <c r="G8" s="39"/>
    </row>
    <row r="9" spans="2:7" x14ac:dyDescent="0.25">
      <c r="B9" s="41"/>
      <c r="C9" s="39"/>
      <c r="D9" s="39"/>
      <c r="E9" s="39"/>
      <c r="F9" s="42"/>
      <c r="G9" s="39"/>
    </row>
    <row r="10" spans="2:7" x14ac:dyDescent="0.25">
      <c r="B10" s="359" t="s">
        <v>22</v>
      </c>
      <c r="C10" s="335"/>
      <c r="D10" s="335"/>
      <c r="E10" s="335"/>
      <c r="F10" s="360"/>
      <c r="G10" s="39"/>
    </row>
    <row r="11" spans="2:7" x14ac:dyDescent="0.25">
      <c r="B11" s="359" t="s">
        <v>22</v>
      </c>
      <c r="C11" s="335"/>
      <c r="D11" s="335"/>
      <c r="E11" s="335"/>
      <c r="F11" s="360"/>
      <c r="G11" s="39"/>
    </row>
    <row r="12" spans="2:7" ht="135" customHeight="1" x14ac:dyDescent="0.8">
      <c r="B12" s="367" t="str">
        <f>'Общие данные'!B5</f>
        <v>ALLAMURODOV MUHAMMAD YOQUB O‘G‘LI</v>
      </c>
      <c r="C12" s="368"/>
      <c r="D12" s="368"/>
      <c r="E12" s="368"/>
      <c r="F12" s="369"/>
      <c r="G12" s="40"/>
    </row>
    <row r="13" spans="2:7" x14ac:dyDescent="0.25">
      <c r="B13" s="359"/>
      <c r="C13" s="335"/>
      <c r="D13" s="335"/>
      <c r="E13" s="335"/>
      <c r="F13" s="360"/>
      <c r="G13" s="39"/>
    </row>
    <row r="14" spans="2:7" x14ac:dyDescent="0.25">
      <c r="B14" s="41"/>
      <c r="C14" s="39"/>
      <c r="D14" s="39"/>
      <c r="E14" s="39"/>
      <c r="F14" s="42"/>
      <c r="G14" s="39"/>
    </row>
    <row r="15" spans="2:7" x14ac:dyDescent="0.25">
      <c r="B15" s="41"/>
      <c r="C15" s="39"/>
      <c r="D15" s="39"/>
      <c r="E15" s="39"/>
      <c r="F15" s="42"/>
      <c r="G15" s="39"/>
    </row>
    <row r="16" spans="2:7" x14ac:dyDescent="0.25">
      <c r="B16" s="41"/>
      <c r="C16" s="39"/>
      <c r="D16" s="39"/>
      <c r="E16" s="39"/>
      <c r="F16" s="42"/>
      <c r="G16" s="39"/>
    </row>
    <row r="17" spans="2:7" x14ac:dyDescent="0.25">
      <c r="B17" s="41"/>
      <c r="C17" s="39"/>
      <c r="D17" s="39"/>
      <c r="E17" s="39"/>
      <c r="F17" s="42"/>
      <c r="G17" s="39"/>
    </row>
    <row r="18" spans="2:7" x14ac:dyDescent="0.25">
      <c r="B18" s="359"/>
      <c r="C18" s="335"/>
      <c r="D18" s="335"/>
      <c r="E18" s="335"/>
      <c r="F18" s="360"/>
      <c r="G18" s="39"/>
    </row>
    <row r="19" spans="2:7" ht="20.25" x14ac:dyDescent="0.3">
      <c r="B19" s="361" t="str">
        <f>""&amp;'Общие данные'!C64&amp;" shartnoma "&amp;'Общие данные'!B74&amp;""</f>
        <v>Mikroqarz shartnoma 7 aprel 2026 y.dan № 323-BR</v>
      </c>
      <c r="C19" s="362"/>
      <c r="D19" s="362"/>
      <c r="E19" s="362"/>
      <c r="F19" s="363"/>
      <c r="G19" s="39"/>
    </row>
    <row r="20" spans="2:7" x14ac:dyDescent="0.25">
      <c r="B20" s="359"/>
      <c r="C20" s="335"/>
      <c r="D20" s="335"/>
      <c r="E20" s="335"/>
      <c r="F20" s="360"/>
      <c r="G20" s="39"/>
    </row>
    <row r="21" spans="2:7" x14ac:dyDescent="0.25">
      <c r="B21" s="359"/>
      <c r="C21" s="335"/>
      <c r="D21" s="335"/>
      <c r="E21" s="335"/>
      <c r="F21" s="360"/>
      <c r="G21" s="39"/>
    </row>
    <row r="22" spans="2:7" x14ac:dyDescent="0.25">
      <c r="B22" s="359"/>
      <c r="C22" s="335"/>
      <c r="D22" s="335"/>
      <c r="E22" s="335"/>
      <c r="F22" s="360"/>
      <c r="G22" s="39"/>
    </row>
    <row r="23" spans="2:7" x14ac:dyDescent="0.25">
      <c r="B23" s="359"/>
      <c r="C23" s="335"/>
      <c r="D23" s="335"/>
      <c r="E23" s="335"/>
      <c r="F23" s="360"/>
      <c r="G23" s="39"/>
    </row>
    <row r="24" spans="2:7" x14ac:dyDescent="0.25">
      <c r="B24" s="373" t="str">
        <f>" Foiz stavkasi: "&amp;'Общие данные'!B86&amp;"%"</f>
        <v xml:space="preserve"> Foiz stavkasi: 55%</v>
      </c>
      <c r="C24" s="374"/>
      <c r="D24" s="374"/>
      <c r="E24" s="374"/>
      <c r="F24" s="375"/>
      <c r="G24" s="39"/>
    </row>
    <row r="25" spans="2:7" ht="15" customHeight="1" x14ac:dyDescent="0.25">
      <c r="B25" s="373" t="str">
        <f>" "&amp;'Общие данные'!C64&amp;" muddati: "&amp;'Общие данные'!B82&amp;" oy"</f>
        <v xml:space="preserve"> Mikroqarz muddati: 36 oy</v>
      </c>
      <c r="C25" s="374"/>
      <c r="D25" s="374"/>
      <c r="E25" s="374"/>
      <c r="F25" s="375"/>
      <c r="G25" s="39"/>
    </row>
    <row r="26" spans="2:7" x14ac:dyDescent="0.25">
      <c r="B26" s="373" t="str">
        <f>" "&amp;'Общие данные'!C64&amp;" miqdori: "&amp;FIXED('Общие данные'!B76,2)&amp;" so'm"</f>
        <v xml:space="preserve"> Mikroqarz miqdori: 52 000 000,00 so'm</v>
      </c>
      <c r="C26" s="374"/>
      <c r="D26" s="374"/>
      <c r="E26" s="374"/>
      <c r="F26" s="375"/>
      <c r="G26" s="39"/>
    </row>
    <row r="27" spans="2:7" x14ac:dyDescent="0.25">
      <c r="B27" s="359"/>
      <c r="C27" s="335"/>
      <c r="D27" s="335"/>
      <c r="E27" s="335"/>
      <c r="F27" s="360"/>
      <c r="G27" s="39"/>
    </row>
    <row r="28" spans="2:7" hidden="1" x14ac:dyDescent="0.25">
      <c r="G28" s="39"/>
    </row>
    <row r="29" spans="2:7" x14ac:dyDescent="0.25">
      <c r="B29" s="359"/>
      <c r="C29" s="335"/>
      <c r="D29" s="335"/>
      <c r="E29" s="335"/>
      <c r="F29" s="360"/>
      <c r="G29" s="39"/>
    </row>
    <row r="30" spans="2:7" ht="12.75" customHeight="1" x14ac:dyDescent="0.25">
      <c r="B30" s="41"/>
      <c r="C30" s="39"/>
      <c r="D30" s="39"/>
      <c r="E30" s="39"/>
      <c r="F30" s="42"/>
      <c r="G30" s="39"/>
    </row>
    <row r="31" spans="2:7" x14ac:dyDescent="0.25">
      <c r="B31" s="41"/>
      <c r="C31" s="39"/>
      <c r="D31" s="39"/>
      <c r="E31" s="39"/>
      <c r="F31" s="42"/>
      <c r="G31" s="39"/>
    </row>
    <row r="32" spans="2:7" ht="2.25" customHeight="1" x14ac:dyDescent="0.25">
      <c r="B32" s="41"/>
      <c r="C32" s="39"/>
      <c r="D32" s="39"/>
      <c r="E32" s="39"/>
      <c r="F32" s="42"/>
      <c r="G32" s="39"/>
    </row>
    <row r="33" spans="2:7" x14ac:dyDescent="0.25">
      <c r="B33" s="41"/>
      <c r="C33" s="39"/>
      <c r="D33" s="39"/>
      <c r="E33" s="39"/>
      <c r="F33" s="42"/>
      <c r="G33" s="39"/>
    </row>
    <row r="34" spans="2:7" x14ac:dyDescent="0.25">
      <c r="B34" s="41"/>
      <c r="C34" s="39"/>
      <c r="D34" s="39"/>
      <c r="E34" s="39"/>
      <c r="F34" s="42"/>
      <c r="G34" s="39"/>
    </row>
    <row r="35" spans="2:7" x14ac:dyDescent="0.25">
      <c r="B35" s="41"/>
      <c r="C35" s="39"/>
      <c r="D35" s="39"/>
      <c r="E35" s="39"/>
      <c r="F35" s="42"/>
      <c r="G35" s="39"/>
    </row>
    <row r="36" spans="2:7" x14ac:dyDescent="0.25">
      <c r="B36" s="41"/>
      <c r="C36" s="39"/>
      <c r="D36" s="39"/>
      <c r="E36" s="39"/>
      <c r="F36" s="42"/>
      <c r="G36" s="39"/>
    </row>
    <row r="37" spans="2:7" x14ac:dyDescent="0.25">
      <c r="B37" s="41"/>
      <c r="C37" s="39"/>
      <c r="D37" s="39"/>
      <c r="E37" s="39"/>
      <c r="F37" s="42"/>
      <c r="G37" s="39"/>
    </row>
    <row r="38" spans="2:7" x14ac:dyDescent="0.25">
      <c r="B38" s="41"/>
      <c r="C38" s="39"/>
      <c r="D38" s="39"/>
      <c r="E38" s="39"/>
      <c r="F38" s="42"/>
      <c r="G38" s="39"/>
    </row>
    <row r="39" spans="2:7" x14ac:dyDescent="0.25">
      <c r="B39" s="41"/>
      <c r="C39" s="39"/>
      <c r="D39" s="39"/>
      <c r="E39" s="39"/>
      <c r="F39" s="42"/>
      <c r="G39" s="39"/>
    </row>
    <row r="40" spans="2:7" ht="15.75" thickBot="1" x14ac:dyDescent="0.3">
      <c r="B40" s="370" t="str">
        <f>"Toshkent sh., "&amp;'Общие данные'!B70&amp;""</f>
        <v>Toshkent sh., 7 aprel 2026 y.</v>
      </c>
      <c r="C40" s="371"/>
      <c r="D40" s="371"/>
      <c r="E40" s="371"/>
      <c r="F40" s="372"/>
      <c r="G40" s="39"/>
    </row>
    <row r="41" spans="2:7" x14ac:dyDescent="0.25">
      <c r="B41" s="335"/>
      <c r="C41" s="335"/>
      <c r="D41" s="335"/>
      <c r="E41" s="335"/>
      <c r="F41" s="335"/>
      <c r="G41" s="39"/>
    </row>
    <row r="42" spans="2:7" x14ac:dyDescent="0.25">
      <c r="B42" s="335"/>
      <c r="C42" s="335"/>
      <c r="D42" s="335"/>
      <c r="E42" s="335"/>
      <c r="F42" s="335"/>
      <c r="G42" s="39"/>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view="pageBreakPreview" zoomScale="115" zoomScaleNormal="115" zoomScaleSheetLayoutView="115" workbookViewId="0">
      <selection activeCell="B3" sqref="B3"/>
    </sheetView>
  </sheetViews>
  <sheetFormatPr defaultColWidth="8" defaultRowHeight="12.75" x14ac:dyDescent="0.25"/>
  <cols>
    <col min="1" max="1" width="49.140625" style="251" customWidth="1"/>
    <col min="2" max="2" width="45.85546875" style="251" customWidth="1"/>
    <col min="3" max="3" width="2.7109375" style="251" customWidth="1"/>
    <col min="4" max="4" width="1.85546875" style="251" customWidth="1"/>
    <col min="5" max="16384" width="8" style="251"/>
  </cols>
  <sheetData>
    <row r="1" spans="1:3" ht="65.25" customHeight="1" x14ac:dyDescent="0.25">
      <c r="A1" s="378" t="s">
        <v>411</v>
      </c>
      <c r="B1" s="379"/>
    </row>
    <row r="2" spans="1:3" ht="30" customHeight="1" x14ac:dyDescent="0.25">
      <c r="A2" s="380" t="s">
        <v>412</v>
      </c>
      <c r="B2" s="380"/>
    </row>
    <row r="3" spans="1:3" ht="17.100000000000001" customHeight="1" x14ac:dyDescent="0.25">
      <c r="A3" s="252"/>
      <c r="B3" s="253" t="str">
        <f>"                       "&amp;'Общие данные'!B70&amp;""</f>
        <v xml:space="preserve">                       7 aprel 2026 y.</v>
      </c>
    </row>
    <row r="4" spans="1:3" ht="17.100000000000001" customHeight="1" x14ac:dyDescent="0.25">
      <c r="A4" s="381" t="str">
        <f>"To'lovchi: "&amp;'Общие данные'!B5&amp;""</f>
        <v>To'lovchi: ALLAMURODOV MUHAMMAD YOQUB O‘G‘LI</v>
      </c>
      <c r="B4" s="381"/>
    </row>
    <row r="5" spans="1:3" ht="17.100000000000001" customHeight="1" x14ac:dyDescent="0.25">
      <c r="A5" s="251" t="s">
        <v>413</v>
      </c>
    </row>
    <row r="6" spans="1:3" ht="49.5" customHeight="1" x14ac:dyDescent="0.25">
      <c r="A6" s="382" t="str">
        <f>"muvofiq, "&amp;'Общие данные'!B70&amp;""&amp;'Общие данные'!B1&amp;"-sonli "&amp;'Общие данные'!C64&amp;" shartnomasi bo‘yicha Qarz oluvchi sifatida menga nisbatan Mikromoliya tashkiloti «PULLOL BUSINESS MIKROMOLIYA TASHKILOTI» MChJ va AО CK «IMPEX INSURANCE» sug’urta kompaniyasi o‘rtasida tuzilgan garov yoki boshqa turdagi "</f>
        <v xml:space="preserve">muvofiq, 7 aprel 2026 y.№ 323-BR-sonli Mikroqarz shartnomasi bo‘yicha Qarz oluvchi sifatida menga nisbatan Mikromoliya tashkiloti «PULLOL BUSINESS MIKROMOLIYA TASHKILOTI» MChJ va AО CK «IMPEX INSURANCE» sug’urta kompaniyasi o‘rtasida tuzilgan garov yoki boshqa turdagi </v>
      </c>
      <c r="B6" s="382"/>
    </row>
    <row r="7" spans="1:3" ht="51.75" customHeight="1" x14ac:dyDescent="0.25">
      <c r="A7" s="383" t="s">
        <v>414</v>
      </c>
      <c r="B7" s="384"/>
    </row>
    <row r="8" spans="1:3" ht="36.75" customHeight="1" x14ac:dyDescent="0.25">
      <c r="A8" s="254" t="s">
        <v>415</v>
      </c>
      <c r="B8" s="376" t="s">
        <v>416</v>
      </c>
      <c r="C8" s="377"/>
    </row>
    <row r="9" spans="1:3" ht="30" customHeight="1" x14ac:dyDescent="0.25">
      <c r="A9" s="254" t="s">
        <v>417</v>
      </c>
      <c r="B9" s="376" t="s">
        <v>418</v>
      </c>
      <c r="C9" s="377"/>
    </row>
    <row r="10" spans="1:3" ht="21" customHeight="1" x14ac:dyDescent="0.25">
      <c r="A10" s="255" t="s">
        <v>419</v>
      </c>
      <c r="B10" s="376" t="s">
        <v>420</v>
      </c>
      <c r="C10" s="377"/>
    </row>
    <row r="11" spans="1:3" ht="21" customHeight="1" x14ac:dyDescent="0.25">
      <c r="A11" s="254" t="s">
        <v>421</v>
      </c>
      <c r="B11" s="385">
        <v>0.04</v>
      </c>
      <c r="C11" s="386"/>
    </row>
    <row r="12" spans="1:3" ht="21" customHeight="1" x14ac:dyDescent="0.25">
      <c r="A12" s="254" t="s">
        <v>422</v>
      </c>
      <c r="B12" s="376"/>
      <c r="C12" s="377"/>
    </row>
    <row r="13" spans="1:3" ht="35.25" customHeight="1" x14ac:dyDescent="0.25">
      <c r="A13" s="256" t="s">
        <v>423</v>
      </c>
    </row>
    <row r="14" spans="1:3" ht="18" customHeight="1" x14ac:dyDescent="0.25">
      <c r="A14" s="251" t="s">
        <v>424</v>
      </c>
    </row>
    <row r="15" spans="1:3" ht="18" customHeight="1" x14ac:dyDescent="0.25">
      <c r="A15" s="251" t="s">
        <v>425</v>
      </c>
    </row>
    <row r="16" spans="1:3" ht="146.25" customHeight="1" x14ac:dyDescent="0.25">
      <c r="A16" s="387" t="s">
        <v>426</v>
      </c>
      <c r="B16" s="387"/>
    </row>
    <row r="17" spans="1:2" ht="24.75" customHeight="1" x14ac:dyDescent="0.25">
      <c r="A17" s="257" t="s">
        <v>427</v>
      </c>
    </row>
    <row r="18" spans="1:2" x14ac:dyDescent="0.25">
      <c r="A18" s="251" t="s">
        <v>428</v>
      </c>
      <c r="B18" s="251" t="s">
        <v>429</v>
      </c>
    </row>
  </sheetData>
  <mergeCells count="11">
    <mergeCell ref="B9:C9"/>
    <mergeCell ref="B10:C10"/>
    <mergeCell ref="B11:C11"/>
    <mergeCell ref="B12:C12"/>
    <mergeCell ref="A16:B16"/>
    <mergeCell ref="B8:C8"/>
    <mergeCell ref="A1:B1"/>
    <mergeCell ref="A2:B2"/>
    <mergeCell ref="A4:B4"/>
    <mergeCell ref="A6:B6"/>
    <mergeCell ref="A7:B7"/>
  </mergeCells>
  <pageMargins left="0.78740157480314965" right="0" top="0" bottom="0" header="0.31496062992125984" footer="0.31496062992125984"/>
  <pageSetup paperSize="9" scale="9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23"/>
  <sheetViews>
    <sheetView view="pageBreakPreview" zoomScale="115" zoomScaleNormal="130" zoomScaleSheetLayoutView="115" workbookViewId="0">
      <selection activeCell="C2" sqref="C2:D2"/>
    </sheetView>
  </sheetViews>
  <sheetFormatPr defaultColWidth="9.140625" defaultRowHeight="15.75" x14ac:dyDescent="0.25"/>
  <cols>
    <col min="1" max="1" width="16.42578125" style="6" customWidth="1"/>
    <col min="2" max="2" width="18.42578125" style="6" customWidth="1"/>
    <col min="3" max="3" width="17.5703125" style="6" customWidth="1"/>
    <col min="4" max="4" width="28.5703125" style="6" customWidth="1"/>
    <col min="5" max="16384" width="9.140625" style="6"/>
  </cols>
  <sheetData>
    <row r="1" spans="1:4" ht="33.75" customHeight="1" x14ac:dyDescent="0.25">
      <c r="C1" s="307" t="str">
        <f>'Общие данные'!B158&amp;" direktori v.v.b. "</f>
        <v xml:space="preserve">«PULLOL BUSINESS MIKROMOLIYA TASHKILOTI»  MChJ direktori v.v.b. </v>
      </c>
      <c r="D1" s="307"/>
    </row>
    <row r="2" spans="1:4" x14ac:dyDescent="0.25">
      <c r="C2" s="390" t="str">
        <f>" "&amp;'Общие данные'!D163 &amp;"ga"</f>
        <v xml:space="preserve"> B. X. Mominovga</v>
      </c>
      <c r="D2" s="390"/>
    </row>
    <row r="3" spans="1:4" x14ac:dyDescent="0.25">
      <c r="C3" s="11"/>
      <c r="D3" s="11"/>
    </row>
    <row r="4" spans="1:4" ht="63" customHeight="1" x14ac:dyDescent="0.25">
      <c r="C4" s="303" t="str">
        <f>'Общие данные'!B22&amp;" manzilida istiqomat qiluvchi"</f>
        <v>BUXORO VILOYATI KOGON TUMANI SORG'UN MFY PARAKATI QQ 22-UY manzilida istiqomat qiluvchi</v>
      </c>
      <c r="D4" s="303"/>
    </row>
    <row r="5" spans="1:4" ht="36" customHeight="1" x14ac:dyDescent="0.25">
      <c r="C5" s="303" t="str">
        <f>'Общие данные'!B5&amp;" tomonidan"</f>
        <v>ALLAMURODOV MUHAMMAD YOQUB O‘G‘LI tomonidan</v>
      </c>
      <c r="D5" s="303"/>
    </row>
    <row r="6" spans="1:4" ht="56.25" customHeight="1" x14ac:dyDescent="0.25">
      <c r="C6" s="388" t="str">
        <f>"Pasport: "&amp;'Общие данные'!B16&amp;", "&amp;'Общие данные'!B20</f>
        <v>Pasport: AD 9213848 , IIV 61013  tomonidan 31.10.2024 yilda berilgan</v>
      </c>
      <c r="D6" s="388"/>
    </row>
    <row r="8" spans="1:4" x14ac:dyDescent="0.25">
      <c r="A8" s="306" t="s">
        <v>370</v>
      </c>
      <c r="B8" s="306"/>
      <c r="C8" s="306"/>
      <c r="D8" s="306"/>
    </row>
    <row r="9" spans="1:4" ht="66" customHeight="1" x14ac:dyDescent="0.25">
      <c r="A9" s="388" t="str">
        <f>"       Men, " &amp; 'Общие данные'!B5 &amp; " sizdan " &amp; 'Общие данные'!B2 &amp; " yildagi " &amp; 'Общие данные'!B1 &amp; "-sonli kredit shartnomasiga asosan " &amp; 'Общие данные'!B76  &amp; "(" &amp; 'Общие данные'!B77 &amp; ")"  &amp; "so'm pul mablag'larini quyidagi rekvizitlar asosida o'tkazib berishingizni so'rayman: "</f>
        <v xml:space="preserve">       Men, ALLAMURODOV MUHAMMAD YOQUB O‘G‘LI sizdan 07.04.2026 yildagi № 323-BR-sonli kredit shartnomasiga asosan 52000000(ellik ikki million so'm)so'm pul mablag'larini quyidagi rekvizitlar asosida o'tkazib berishingizni so'rayman: </v>
      </c>
      <c r="B9" s="388"/>
      <c r="C9" s="388"/>
      <c r="D9" s="388"/>
    </row>
    <row r="10" spans="1:4" x14ac:dyDescent="0.25">
      <c r="A10" s="175" t="str">
        <f>'Общие данные'!A93</f>
        <v>Bank nomi:</v>
      </c>
      <c r="B10" s="388" t="str">
        <f>'Общие данные'!B93</f>
        <v>KAPITAL BANK</v>
      </c>
      <c r="C10" s="388"/>
      <c r="D10" s="175"/>
    </row>
    <row r="11" spans="1:4" x14ac:dyDescent="0.25">
      <c r="A11" s="175" t="str">
        <f>'Общие данные'!A94</f>
        <v>H/r:</v>
      </c>
      <c r="B11" s="388" t="str">
        <f>'Общие данные'!B94</f>
        <v>2312 0000 5000 0115 8013</v>
      </c>
      <c r="C11" s="388"/>
      <c r="D11" s="175"/>
    </row>
    <row r="12" spans="1:4" x14ac:dyDescent="0.25">
      <c r="A12" s="175" t="str">
        <f>'Общие данные'!A95</f>
        <v>MFO:</v>
      </c>
      <c r="B12" s="388" t="str">
        <f>'Общие данные'!B95</f>
        <v>01158</v>
      </c>
      <c r="C12" s="388"/>
      <c r="D12" s="175"/>
    </row>
    <row r="13" spans="1:4" x14ac:dyDescent="0.25">
      <c r="A13" s="175" t="str">
        <f>'Общие данные'!A96</f>
        <v>STIR:</v>
      </c>
      <c r="B13" s="388" t="str">
        <f>'Общие данные'!B96</f>
        <v>207275139</v>
      </c>
      <c r="C13" s="388"/>
      <c r="D13" s="175"/>
    </row>
    <row r="14" spans="1:4" x14ac:dyDescent="0.25">
      <c r="A14" s="175" t="str">
        <f>'Общие данные'!A97</f>
        <v>Karta raqami:</v>
      </c>
      <c r="B14" s="388" t="str">
        <f>'Общие данные'!B97</f>
        <v>5614 6822 1114 0969</v>
      </c>
      <c r="C14" s="388"/>
      <c r="D14" s="175"/>
    </row>
    <row r="15" spans="1:4" x14ac:dyDescent="0.25">
      <c r="A15" s="175"/>
      <c r="B15" s="175"/>
      <c r="C15" s="175"/>
      <c r="D15" s="175"/>
    </row>
    <row r="16" spans="1:4" x14ac:dyDescent="0.25">
      <c r="A16" s="303" t="str">
        <f>'Общие данные'!B5</f>
        <v>ALLAMURODOV MUHAMMAD YOQUB O‘G‘LI</v>
      </c>
      <c r="B16" s="303"/>
      <c r="C16" s="303"/>
      <c r="D16" s="177" t="s">
        <v>377</v>
      </c>
    </row>
    <row r="17" spans="1:4" x14ac:dyDescent="0.25">
      <c r="A17" s="11"/>
      <c r="B17" s="11"/>
      <c r="C17" s="11"/>
      <c r="D17" s="178" t="s">
        <v>320</v>
      </c>
    </row>
    <row r="18" spans="1:4" x14ac:dyDescent="0.25">
      <c r="A18" s="11"/>
      <c r="B18" s="11"/>
      <c r="C18" s="11"/>
      <c r="D18" s="11"/>
    </row>
    <row r="19" spans="1:4" x14ac:dyDescent="0.25">
      <c r="A19" s="11"/>
      <c r="B19" s="11"/>
      <c r="C19" s="11"/>
      <c r="D19" s="11"/>
    </row>
    <row r="20" spans="1:4" ht="48.75" customHeight="1" x14ac:dyDescent="0.25">
      <c r="A20" s="389" t="str">
        <f>'Общие данные'!B158&amp;" direktori v.v.b."</f>
        <v>«PULLOL BUSINESS MIKROMOLIYA TASHKILOTI»  MChJ direktori v.v.b.</v>
      </c>
      <c r="B20" s="389"/>
      <c r="C20" s="11"/>
      <c r="D20" s="60" t="str">
        <f>'Общие данные'!B161</f>
        <v>Mominov B. X.</v>
      </c>
    </row>
    <row r="23" spans="1:4" x14ac:dyDescent="0.25">
      <c r="A23" s="6" t="s">
        <v>379</v>
      </c>
      <c r="B23" s="29" t="str">
        <f>'Общие данные'!B2&amp;" yil"</f>
        <v>07.04.2026 yil</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3" customWidth="1"/>
    <col min="2" max="2" width="21.28515625" style="13" customWidth="1"/>
    <col min="3" max="3" width="19.140625" style="13" customWidth="1"/>
    <col min="4" max="5" width="21.28515625" style="13" customWidth="1"/>
    <col min="6" max="16384" width="9.140625" style="13"/>
  </cols>
  <sheetData>
    <row r="2" spans="1:5" x14ac:dyDescent="0.25">
      <c r="A2" s="98" t="s">
        <v>43</v>
      </c>
    </row>
    <row r="3" spans="1:5" x14ac:dyDescent="0.25">
      <c r="A3" s="98" t="s">
        <v>44</v>
      </c>
    </row>
    <row r="6" spans="1:5" ht="20.25" customHeight="1" x14ac:dyDescent="0.25">
      <c r="E6" s="99" t="s">
        <v>31</v>
      </c>
    </row>
    <row r="7" spans="1:5" x14ac:dyDescent="0.25">
      <c r="E7" s="99" t="s">
        <v>45</v>
      </c>
    </row>
    <row r="9" spans="1:5" ht="107.25" customHeight="1" x14ac:dyDescent="0.25">
      <c r="A9" s="392"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данные'!B76)&amp;" ("&amp;'Общие данные'!B77&amp;") сум, сроком на "&amp;'Общие данные'!B82&amp;" ("&amp;'Общие данные'!B83&amp;")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данные'!B110='Общие данные'!C110,"автотранспортного средство марки "&amp;'Общие данные'!B132&amp;" принадлежащее на правах собственности "&amp;'Общие данные'!B124&amp;"","недвижимого имущества в виде "&amp;'Общие данные'!C133&amp;", общей площадью - "&amp;'Общие данные'!C137&amp;" и жилой площадью - "&amp;'Общие данные'!C140&amp;", расположенного по адресу: "&amp;'Общие данные'!C130&amp;", принадлежащее на правах собственности "&amp;'Общие данные'!C124&amp;".")</f>
        <v xml:space="preserve">          Между ООО «Clever Mikrokredit Tashkiloti» и ALLAMURODOV MUHAMMAD YOQUB O‘G‘LI  (паспорт: AD 9213848  IIV 61013  tomonidan 31.10.2024 yilda berilgan) заключен договор микрозайма 7 aprel 2026 y.dan № 323-BR, на сумму 52 000 000,00 (ellik ikki million so'm) сум, сроком на 36 (O'ttiz olti  ) месяцев. В качестве своевременного исполнения обязательств по договору Микрозайма 7 aprel 2026 y.dan № 323-BR планирует предоставить нижеследующее автотранспортного средство марки SPARK принадлежащее на правах собственности RO'ZIYEV ODILJON OLIMJONOVICH</v>
      </c>
      <c r="B9" s="392"/>
      <c r="C9" s="392"/>
      <c r="D9" s="392"/>
      <c r="E9" s="392"/>
    </row>
    <row r="11" spans="1:5" ht="28.5" x14ac:dyDescent="0.25">
      <c r="A11" s="36" t="str">
        <f>'Приказ на сделку'!A17</f>
        <v>Nomi</v>
      </c>
      <c r="B11" s="36" t="str">
        <f>'Приказ на сделку'!B17</f>
        <v>Kuzov turi  va kuzov raqami*</v>
      </c>
      <c r="C11" s="36" t="str">
        <f>'Приказ на сделку'!C17</f>
        <v>Dvigatel va shassi raqami*</v>
      </c>
      <c r="D11" s="36" t="str">
        <f>'Приказ на сделку'!D17</f>
        <v>Ishlab chiqarilgan yili va rangi*</v>
      </c>
      <c r="E11" s="36" t="str">
        <f>'Приказ на сделку'!E17</f>
        <v>Kelishilgan garov qiymati, so'm</v>
      </c>
    </row>
    <row r="12" spans="1:5" ht="73.5" customHeight="1" x14ac:dyDescent="0.25">
      <c r="A12" s="36" t="str">
        <f>'Приказ на сделку'!A18</f>
        <v>SPARK</v>
      </c>
      <c r="B12" s="36" t="str">
        <f>'Приказ на сделку'!B18</f>
        <v>kuzov turi - YENGIL SEDAN, kuzov raqami XWBMF48NEJA525204</v>
      </c>
      <c r="C12" s="36" t="str">
        <f>'Приказ на сделку'!C18</f>
        <v>dvigatel raqami B15D212181062B8JX0417, shassi raqami - RAKAMSIZ</v>
      </c>
      <c r="D12" s="36" t="str">
        <f>'Приказ на сделку'!D18</f>
        <v>rangi -  OQ BELAYA, ishlab chiqarilgan yili - 2018</v>
      </c>
      <c r="E12" s="36" t="str">
        <f>'Приказ на сделку'!E18</f>
        <v>49 000 000,00 
(qirq to'qqiz million so'm)</v>
      </c>
    </row>
    <row r="13" spans="1:5" x14ac:dyDescent="0.25">
      <c r="A13" s="393" t="str">
        <f>'Приказ на сделку'!A19:E19</f>
        <v>-* avtotransport egasi: RO'ZIYEV ODILJON OLIMJONOVICH</v>
      </c>
      <c r="B13" s="393"/>
      <c r="C13" s="393"/>
      <c r="D13" s="393"/>
      <c r="E13" s="393"/>
    </row>
    <row r="14" spans="1:5" x14ac:dyDescent="0.25">
      <c r="A14" s="393" t="str">
        <f>'Приказ на сделку'!A20:E20</f>
        <v>-* texnik pasport: AAG   2554881   10.10.2023 y</v>
      </c>
      <c r="B14" s="393"/>
      <c r="C14" s="393"/>
      <c r="D14" s="393"/>
      <c r="E14" s="393"/>
    </row>
    <row r="15" spans="1:5" x14ac:dyDescent="0.25">
      <c r="A15" s="393" t="str">
        <f>'Приказ на сделку'!A21:E21</f>
        <v>-* roʻyxatdan oʻtgan manzili/garaj manzili: BUXORO VILOYATI OLOT TUMANI ASAJAM MFY ASAJAM</v>
      </c>
      <c r="B15" s="393"/>
      <c r="C15" s="393"/>
      <c r="D15" s="393"/>
      <c r="E15" s="393"/>
    </row>
    <row r="16" spans="1:5" x14ac:dyDescent="0.25">
      <c r="A16" s="393" t="str">
        <f>'Приказ на сделку'!A22:E22</f>
        <v>-* davlat raqami: 80F845XA</v>
      </c>
      <c r="B16" s="393"/>
      <c r="C16" s="393"/>
      <c r="D16" s="393"/>
      <c r="E16" s="393"/>
    </row>
    <row r="17" spans="1:5" ht="3" customHeight="1" x14ac:dyDescent="0.25"/>
    <row r="19" spans="1:5" ht="59.25" hidden="1" customHeight="1" x14ac:dyDescent="0.25">
      <c r="A19" s="36" t="str">
        <f>'Акт согласования'!A32</f>
        <v>Наименование</v>
      </c>
      <c r="B19" s="36" t="str">
        <f>'Акт согласования'!B32</f>
        <v>Полезная площадь</v>
      </c>
      <c r="C19" s="36" t="str">
        <f>'Акт согласования'!C32</f>
        <v>Жилая площадь</v>
      </c>
      <c r="D19" s="36" t="str">
        <f>'Акт согласования'!D32</f>
        <v>Общая площадь</v>
      </c>
      <c r="E19" s="36" t="str">
        <f>'Акт согласования'!E32</f>
        <v>Согласованная залоговая стоимость, сум</v>
      </c>
    </row>
    <row r="20" spans="1:5" ht="17.25" hidden="1" customHeight="1" x14ac:dyDescent="0.25">
      <c r="A20" s="15" t="e">
        <f>'Акт согласования'!A33</f>
        <v>#REF!</v>
      </c>
      <c r="B20" s="15" t="e">
        <f>'Акт согласования'!B33</f>
        <v>#REF!</v>
      </c>
      <c r="C20" s="15" t="e">
        <f>'Акт согласования'!C33</f>
        <v>#REF!</v>
      </c>
      <c r="D20" s="15" t="e">
        <f>'Акт согласования'!D33</f>
        <v>#REF!</v>
      </c>
      <c r="E20" s="342" t="str">
        <f>""&amp;FIXED('Общие данные'!C143,2)&amp;" ("&amp;'Общие данные'!C144&amp;")"</f>
        <v>49 000 000,00 (qirq to'qqiz million so'm)</v>
      </c>
    </row>
    <row r="21" spans="1:5" ht="17.25" hidden="1" customHeight="1" x14ac:dyDescent="0.25">
      <c r="A21" s="15">
        <f>'Акт согласования'!A34</f>
        <v>0</v>
      </c>
      <c r="B21" s="15">
        <f>'Акт согласования'!B34</f>
        <v>0</v>
      </c>
      <c r="C21" s="15">
        <f>'Акт согласования'!C34</f>
        <v>0</v>
      </c>
      <c r="D21" s="15">
        <f>'Акт согласования'!D34</f>
        <v>0</v>
      </c>
      <c r="E21" s="343"/>
    </row>
    <row r="22" spans="1:5" ht="17.25" hidden="1" customHeight="1" x14ac:dyDescent="0.25">
      <c r="A22" s="15" t="e">
        <f>'Акт согласования'!A35</f>
        <v>#REF!</v>
      </c>
      <c r="B22" s="15" t="e">
        <f>'Акт согласования'!B35</f>
        <v>#REF!</v>
      </c>
      <c r="C22" s="15" t="e">
        <f>'Акт согласования'!C35</f>
        <v>#REF!</v>
      </c>
      <c r="D22" s="15" t="e">
        <f>'Акт согласования'!D35</f>
        <v>#REF!</v>
      </c>
      <c r="E22" s="343"/>
    </row>
    <row r="23" spans="1:5" ht="17.25" hidden="1" customHeight="1" x14ac:dyDescent="0.25">
      <c r="A23" s="15" t="e">
        <f>'Акт согласования'!A36</f>
        <v>#REF!</v>
      </c>
      <c r="B23" s="15" t="e">
        <f>'Акт согласования'!B36</f>
        <v>#REF!</v>
      </c>
      <c r="C23" s="15" t="e">
        <f>'Акт согласования'!C36</f>
        <v>#REF!</v>
      </c>
      <c r="D23" s="15" t="e">
        <f>'Акт согласования'!D36</f>
        <v>#REF!</v>
      </c>
      <c r="E23" s="343"/>
    </row>
    <row r="24" spans="1:5" ht="17.25" hidden="1" customHeight="1" x14ac:dyDescent="0.25">
      <c r="A24" s="15" t="e">
        <f>'Акт согласования'!A37</f>
        <v>#REF!</v>
      </c>
      <c r="B24" s="15" t="e">
        <f>'Акт согласования'!B37</f>
        <v>#REF!</v>
      </c>
      <c r="C24" s="15" t="e">
        <f>'Акт согласования'!C37</f>
        <v>#REF!</v>
      </c>
      <c r="D24" s="15" t="e">
        <f>'Акт согласования'!D37</f>
        <v>#REF!</v>
      </c>
      <c r="E24" s="343"/>
    </row>
    <row r="25" spans="1:5" ht="15.75" hidden="1" customHeight="1" x14ac:dyDescent="0.25">
      <c r="A25" s="15" t="e">
        <f>'Акт согласования'!A38</f>
        <v>#REF!</v>
      </c>
      <c r="B25" s="15" t="e">
        <f>'Акт согласования'!B38</f>
        <v>#REF!</v>
      </c>
      <c r="C25" s="15" t="e">
        <f>'Акт согласования'!C38</f>
        <v>#REF!</v>
      </c>
      <c r="D25" s="15" t="e">
        <f>'Акт согласования'!D38</f>
        <v>#REF!</v>
      </c>
      <c r="E25" s="343"/>
    </row>
    <row r="26" spans="1:5" ht="17.25" hidden="1" customHeight="1" x14ac:dyDescent="0.25">
      <c r="A26" s="15" t="e">
        <f>'Акт согласования'!A39</f>
        <v>#REF!</v>
      </c>
      <c r="B26" s="15" t="e">
        <f>'Акт согласования'!B39</f>
        <v>#REF!</v>
      </c>
      <c r="C26" s="15" t="e">
        <f>'Акт согласования'!C39</f>
        <v>#REF!</v>
      </c>
      <c r="D26" s="15" t="e">
        <f>'Акт согласования'!D39</f>
        <v>#REF!</v>
      </c>
      <c r="E26" s="343"/>
    </row>
    <row r="27" spans="1:5" ht="17.25" hidden="1" customHeight="1" x14ac:dyDescent="0.25">
      <c r="A27" s="15" t="e">
        <f>'Акт согласования'!A40</f>
        <v>#REF!</v>
      </c>
      <c r="B27" s="15" t="e">
        <f>'Акт согласования'!B40</f>
        <v>#REF!</v>
      </c>
      <c r="C27" s="15" t="e">
        <f>'Акт согласования'!C40</f>
        <v>#REF!</v>
      </c>
      <c r="D27" s="15" t="e">
        <f>'Акт согласования'!D40</f>
        <v>#REF!</v>
      </c>
      <c r="E27" s="343"/>
    </row>
    <row r="28" spans="1:5" ht="17.25" hidden="1" customHeight="1" x14ac:dyDescent="0.25">
      <c r="A28" s="15" t="e">
        <f>'Акт согласования'!A41</f>
        <v>#REF!</v>
      </c>
      <c r="B28" s="15" t="e">
        <f>'Акт согласования'!B41</f>
        <v>#REF!</v>
      </c>
      <c r="C28" s="15" t="e">
        <f>'Акт согласования'!C41</f>
        <v>#REF!</v>
      </c>
      <c r="D28" s="15" t="e">
        <f>'Акт согласования'!D41</f>
        <v>#REF!</v>
      </c>
      <c r="E28" s="343"/>
    </row>
    <row r="29" spans="1:5" ht="17.25" hidden="1" customHeight="1" x14ac:dyDescent="0.25">
      <c r="A29" s="15" t="e">
        <f>'Акт согласования'!A42</f>
        <v>#REF!</v>
      </c>
      <c r="B29" s="15" t="e">
        <f>'Акт согласования'!B42</f>
        <v>#REF!</v>
      </c>
      <c r="C29" s="15" t="e">
        <f>'Акт согласования'!C42</f>
        <v>#REF!</v>
      </c>
      <c r="D29" s="15" t="e">
        <f>'Акт согласования'!D42</f>
        <v>#REF!</v>
      </c>
      <c r="E29" s="343"/>
    </row>
    <row r="30" spans="1:5" ht="17.25" hidden="1" customHeight="1" x14ac:dyDescent="0.25">
      <c r="A30" s="15" t="e">
        <f>'Акт согласования'!A43</f>
        <v>#REF!</v>
      </c>
      <c r="B30" s="15" t="e">
        <f>'Акт согласования'!B43</f>
        <v>#REF!</v>
      </c>
      <c r="C30" s="15" t="e">
        <f>'Акт согласования'!C43</f>
        <v>#REF!</v>
      </c>
      <c r="D30" s="15" t="e">
        <f>'Акт согласования'!D43</f>
        <v>#REF!</v>
      </c>
      <c r="E30" s="344"/>
    </row>
    <row r="31" spans="1:5" ht="17.25" hidden="1" customHeight="1" x14ac:dyDescent="0.25">
      <c r="A31" s="15" t="e">
        <f>'Акт согласования'!A44</f>
        <v>#REF!</v>
      </c>
      <c r="B31" s="15" t="e">
        <f>'Акт согласования'!B44</f>
        <v>#REF!</v>
      </c>
      <c r="C31" s="15" t="e">
        <f>'Акт согласования'!C44</f>
        <v>#REF!</v>
      </c>
      <c r="D31" s="15" t="e">
        <f>'Акт согласования'!D44</f>
        <v>#REF!</v>
      </c>
      <c r="E31" s="15" t="str">
        <f>'Акт согласования'!E44</f>
        <v>49 000 000,00</v>
      </c>
    </row>
    <row r="32" spans="1:5" ht="18.75" hidden="1" customHeight="1" x14ac:dyDescent="0.25">
      <c r="A32" s="392" t="e">
        <f>_xlfn.SINGLE('Акт согласования'!#REF!)</f>
        <v>#REF!</v>
      </c>
      <c r="B32" s="392"/>
      <c r="C32" s="392"/>
      <c r="D32" s="392"/>
      <c r="E32" s="392"/>
    </row>
    <row r="33" spans="1:5" ht="24.75" hidden="1" customHeight="1" x14ac:dyDescent="0.25">
      <c r="A33" s="392" t="e">
        <f>_xlfn.SINGLE('Акт согласования'!#REF!)</f>
        <v>#REF!</v>
      </c>
      <c r="B33" s="392"/>
      <c r="C33" s="392"/>
      <c r="D33" s="392"/>
      <c r="E33" s="392"/>
    </row>
    <row r="34" spans="1:5" ht="30.75" hidden="1" customHeight="1" x14ac:dyDescent="0.25">
      <c r="A34" s="392" t="e">
        <f>_xlfn.SINGLE('Акт согласования'!#REF!)</f>
        <v>#REF!</v>
      </c>
      <c r="B34" s="392"/>
      <c r="C34" s="392"/>
      <c r="D34" s="392"/>
      <c r="E34" s="392"/>
    </row>
    <row r="35" spans="1:5" ht="15" hidden="1" customHeight="1" x14ac:dyDescent="0.25">
      <c r="A35" s="392" t="e">
        <f>_xlfn.SINGLE('Акт согласования'!#REF!)</f>
        <v>#REF!</v>
      </c>
      <c r="B35" s="392"/>
      <c r="C35" s="392"/>
      <c r="D35" s="392"/>
      <c r="E35" s="392"/>
    </row>
    <row r="36" spans="1:5" x14ac:dyDescent="0.25">
      <c r="A36" s="19"/>
      <c r="B36" s="19"/>
      <c r="C36" s="19"/>
      <c r="D36" s="19"/>
      <c r="E36" s="19"/>
    </row>
    <row r="37" spans="1:5" s="120" customFormat="1" ht="51" customHeight="1" x14ac:dyDescent="0.25">
      <c r="A37" s="391"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91"/>
      <c r="C37" s="391"/>
      <c r="D37" s="391"/>
      <c r="E37" s="391"/>
    </row>
    <row r="38" spans="1:5" ht="40.5" customHeight="1" x14ac:dyDescent="0.25">
      <c r="A38" s="392" t="str">
        <f>'Акт согласования'!A47:E47</f>
        <v>Shu bilan birga, garov predmetining kelishilgan garov qiymati deganda ushbu mulk garov sifatida taqdim etilgan/qabul qilingan qiymati tushuniladi.</v>
      </c>
      <c r="B38" s="392"/>
      <c r="C38" s="392"/>
      <c r="D38" s="392"/>
      <c r="E38" s="392"/>
    </row>
    <row r="39" spans="1:5" ht="39" customHeight="1" x14ac:dyDescent="0.25">
      <c r="A39" s="392"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7 aprel 2026 y.dan № 323-BR, при сохранении запрета.</v>
      </c>
      <c r="B39" s="392"/>
      <c r="C39" s="392"/>
      <c r="D39" s="392"/>
      <c r="E39" s="392"/>
    </row>
    <row r="40" spans="1:5" x14ac:dyDescent="0.25">
      <c r="A40" s="395"/>
      <c r="B40" s="395"/>
      <c r="C40" s="395"/>
      <c r="D40" s="395"/>
      <c r="E40" s="395"/>
    </row>
    <row r="41" spans="1:5" x14ac:dyDescent="0.25">
      <c r="A41" s="396" t="s">
        <v>32</v>
      </c>
      <c r="B41" s="396"/>
      <c r="C41" s="396"/>
      <c r="D41" s="396"/>
      <c r="E41" s="396"/>
    </row>
    <row r="42" spans="1:5" x14ac:dyDescent="0.25">
      <c r="A42" s="395"/>
      <c r="B42" s="395"/>
      <c r="C42" s="395"/>
      <c r="D42" s="395"/>
      <c r="E42" s="395"/>
    </row>
    <row r="43" spans="1:5" x14ac:dyDescent="0.25">
      <c r="A43" s="396" t="s">
        <v>33</v>
      </c>
      <c r="B43" s="396"/>
      <c r="C43" s="396"/>
      <c r="D43" s="396"/>
      <c r="E43" s="396"/>
    </row>
    <row r="44" spans="1:5" ht="28.5" customHeight="1" x14ac:dyDescent="0.25">
      <c r="A44" s="394" t="s">
        <v>34</v>
      </c>
      <c r="B44" s="394"/>
      <c r="C44" s="394"/>
      <c r="D44" s="394"/>
      <c r="E44" s="10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00B050"/>
  </sheetPr>
  <dimension ref="A1:I31"/>
  <sheetViews>
    <sheetView view="pageBreakPreview" topLeftCell="A4" zoomScaleNormal="100" zoomScaleSheetLayoutView="100" workbookViewId="0">
      <selection activeCell="H23" sqref="H23"/>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20.5703125" style="21" customWidth="1"/>
    <col min="9" max="16384" width="9.140625" style="21"/>
  </cols>
  <sheetData>
    <row r="1" spans="1:9" x14ac:dyDescent="0.2">
      <c r="A1" s="28"/>
      <c r="B1" s="28"/>
      <c r="C1" s="28"/>
      <c r="D1" s="28"/>
      <c r="E1" s="28"/>
      <c r="F1" s="28"/>
      <c r="G1" s="28"/>
      <c r="H1" s="28"/>
      <c r="I1" s="28"/>
    </row>
    <row r="2" spans="1:9" x14ac:dyDescent="0.2">
      <c r="A2" s="402" t="str">
        <f>""&amp;" "&amp;'Общие данные'!B74&amp;"-sonli "&amp;" "&amp;'Общие данные'!C64&amp;" shartnomasi bo‘yicha
 garovga qo‘yilgan mol-mulkni tekshirish bo’yicha "&amp;'Общие данные'!B5&amp;" bilan tuzilgan dalolatnomasi"</f>
        <v xml:space="preserve"> 7 aprel 2026 y.dan № 323-BR-sonli  Mikroqarz shartnomasi bo‘yicha
 garovga qo‘yilgan mol-mulkni tekshirish bo’yicha ALLAMURODOV MUHAMMAD YOQUB O‘G‘LI bilan tuzilgan dalolatnomasi</v>
      </c>
      <c r="B2" s="402"/>
      <c r="C2" s="402"/>
      <c r="D2" s="402"/>
      <c r="E2" s="402"/>
      <c r="F2" s="402"/>
      <c r="G2" s="402"/>
      <c r="H2" s="402"/>
      <c r="I2" s="28"/>
    </row>
    <row r="3" spans="1:9" x14ac:dyDescent="0.2">
      <c r="A3" s="402"/>
      <c r="B3" s="402"/>
      <c r="C3" s="402"/>
      <c r="D3" s="402"/>
      <c r="E3" s="402"/>
      <c r="F3" s="402"/>
      <c r="G3" s="402"/>
      <c r="H3" s="402"/>
      <c r="I3" s="28"/>
    </row>
    <row r="5" spans="1:9" x14ac:dyDescent="0.2">
      <c r="A5" s="21" t="s">
        <v>195</v>
      </c>
      <c r="H5" s="130" t="str">
        <f>TEXT(+'Общие данные'!B2+360,"ДД.ММ.ГГГГ")</f>
        <v>02.04.2027</v>
      </c>
    </row>
    <row r="7" spans="1:9" ht="45" customHeight="1" x14ac:dyDescent="0.2">
      <c r="A7" s="404" t="str">
        <f>"      Men, "&amp;'Общие данные'!B158&amp;" "&amp;'Общие данные'!A171&amp;" "&amp;'Общие данные'!B171&amp;", jismoniy shaxs "&amp;" "&amp;'Общие данные'!B5&amp;" "&amp;" "&amp;'Общие данные'!B74&amp;"-sonli "&amp;'Общие данные'!C64&amp;" shartnomasi bo‘yicha garovga qo‘yilgan mol-mulkni ko‘zdan kechirdim"</f>
        <v xml:space="preserve">      Men, «PULLOL BUSINESS MIKROMOLIYA TASHKILOTI»  MChJ Buxoro filiali boshlig’i Ikromov B.A., jismoniy shaxs  ALLAMURODOV MUHAMMAD YOQUB O‘G‘LI  7 aprel 2026 y.dan № 323-BR-sonli Mikroqarz shartnomasi bo‘yicha garovga qo‘yilgan mol-mulkni ko‘zdan kechirdim</v>
      </c>
      <c r="B7" s="404"/>
      <c r="C7" s="404"/>
      <c r="D7" s="404"/>
      <c r="E7" s="404"/>
      <c r="F7" s="404"/>
      <c r="G7" s="404"/>
      <c r="H7" s="404"/>
    </row>
    <row r="8" spans="1:9" ht="19.5" customHeight="1" x14ac:dyDescent="0.2">
      <c r="A8" s="405" t="s">
        <v>264</v>
      </c>
      <c r="B8" s="405"/>
      <c r="C8" s="405"/>
      <c r="D8" s="405"/>
      <c r="E8" s="405"/>
      <c r="F8" s="405"/>
      <c r="G8" s="405"/>
      <c r="H8" s="405"/>
    </row>
    <row r="9" spans="1:9" s="131" customFormat="1" ht="32.25" customHeight="1" x14ac:dyDescent="0.25">
      <c r="A9" s="400" t="str">
        <f>' Акт мониторинга 2'!A9</f>
        <v>Nomi</v>
      </c>
      <c r="B9" s="401"/>
      <c r="C9" s="400" t="str">
        <f>' Акт мониторинга 2'!C9</f>
        <v>Kuzov turi  va kuzov raqami*</v>
      </c>
      <c r="D9" s="401"/>
      <c r="E9" s="400" t="str">
        <f>' Акт мониторинга 2'!E9</f>
        <v>Dvigatel va shassi raqami*</v>
      </c>
      <c r="F9" s="401"/>
      <c r="G9" s="400" t="str">
        <f>' Акт мониторинга 2'!G9</f>
        <v>Ishlab chiqarilgan yili va rangi**</v>
      </c>
      <c r="H9" s="401"/>
    </row>
    <row r="10" spans="1:9" s="129" customFormat="1" ht="58.5" customHeight="1" x14ac:dyDescent="0.2">
      <c r="A10" s="398" t="str">
        <f>' Акт мониторинга 2'!A10</f>
        <v>SPARK</v>
      </c>
      <c r="B10" s="398"/>
      <c r="C10" s="398" t="str">
        <f>' Акт мониторинга 2'!C10</f>
        <v>kuzov turi - YENGIL SEDAN, kuzov raqami XWBMF48NEJA525204</v>
      </c>
      <c r="D10" s="398"/>
      <c r="E10" s="398" t="str">
        <f>' Акт мониторинга 2'!E10</f>
        <v>dvigatel raqami B15D212181062B8JX0417, shassi raqami - RAKAMSIZ</v>
      </c>
      <c r="F10" s="398"/>
      <c r="G10" s="398" t="str">
        <f>' Акт мониторинга 2'!G10</f>
        <v>rangi -  OQ BELAYA, ishlab chiqarilgan yili - 2018</v>
      </c>
      <c r="H10" s="398"/>
    </row>
    <row r="11" spans="1:9" ht="19.5" customHeight="1" x14ac:dyDescent="0.2">
      <c r="A11" s="399" t="str">
        <f>'Акт согласования'!A22:E22</f>
        <v>-* avtotransport egasi: RO'ZIYEV ODILJON OLIMJONOVICH</v>
      </c>
      <c r="B11" s="399"/>
      <c r="C11" s="399"/>
      <c r="D11" s="399"/>
      <c r="E11" s="399"/>
      <c r="F11" s="399"/>
      <c r="G11" s="399"/>
      <c r="H11" s="399"/>
    </row>
    <row r="12" spans="1:9" ht="19.5" customHeight="1" x14ac:dyDescent="0.2">
      <c r="A12" s="399" t="str">
        <f>'Акт согласования'!A23:E23</f>
        <v>-* texnik pasport: AAG   2554881   10.10.2023 y</v>
      </c>
      <c r="B12" s="399"/>
      <c r="C12" s="399"/>
      <c r="D12" s="399"/>
      <c r="E12" s="399"/>
      <c r="F12" s="399"/>
      <c r="G12" s="399"/>
      <c r="H12" s="399"/>
    </row>
    <row r="13" spans="1:9" ht="19.5" customHeight="1" x14ac:dyDescent="0.2">
      <c r="A13" s="399" t="str">
        <f>'Акт согласования'!A24:E24</f>
        <v>-* roʻyxatdan oʻtgan manzili/garaj manzili: BUXORO VILOYATI OLOT TUMANI ASAJAM MFY ASAJAM</v>
      </c>
      <c r="B13" s="399"/>
      <c r="C13" s="399"/>
      <c r="D13" s="399"/>
      <c r="E13" s="399"/>
      <c r="F13" s="399"/>
      <c r="G13" s="399"/>
      <c r="H13" s="399"/>
    </row>
    <row r="14" spans="1:9" ht="19.5" customHeight="1" x14ac:dyDescent="0.2">
      <c r="A14" s="399" t="str">
        <f>'Акт согласования'!A25:E25</f>
        <v>-* davlat raqami: 80F845XA</v>
      </c>
      <c r="B14" s="399"/>
      <c r="C14" s="399"/>
      <c r="D14" s="399"/>
      <c r="E14" s="399"/>
      <c r="F14" s="399"/>
      <c r="G14" s="399"/>
      <c r="H14" s="399"/>
    </row>
    <row r="15" spans="1:9" ht="33.75" customHeight="1" x14ac:dyDescent="0.2">
      <c r="A15" s="403" t="str">
        <f>+"Shu bilan birga, yuqoridagi mulkning kelishilgan garov qiymati "&amp;'Акт согласования'!E30</f>
        <v>Shu bilan birga, yuqoridagi mulkning kelishilgan garov qiymati 49 000 000,00 
(qirq to'qqiz million so'm)</v>
      </c>
      <c r="B15" s="403"/>
      <c r="C15" s="403"/>
      <c r="D15" s="403"/>
      <c r="E15" s="403"/>
      <c r="F15" s="403"/>
      <c r="G15" s="403"/>
      <c r="H15" s="403"/>
    </row>
    <row r="17" spans="1:8" ht="35.25" customHeight="1" x14ac:dyDescent="0.2">
      <c r="A17" s="397" t="s">
        <v>265</v>
      </c>
      <c r="B17" s="397"/>
      <c r="C17" s="397"/>
      <c r="D17" s="397"/>
      <c r="E17" s="397"/>
      <c r="F17" s="397"/>
      <c r="G17" s="397"/>
      <c r="H17" s="397"/>
    </row>
    <row r="21" spans="1:8" s="28" customFormat="1" x14ac:dyDescent="0.2"/>
    <row r="22" spans="1:8" s="28" customFormat="1" x14ac:dyDescent="0.2">
      <c r="A22" s="194" t="str">
        <f>'Общие данные'!A171</f>
        <v>Buxoro filiali boshlig’i</v>
      </c>
      <c r="H22" s="132" t="str">
        <f>'Общие данные'!B171</f>
        <v>Ikromov B.A.</v>
      </c>
    </row>
    <row r="23" spans="1:8" s="28" customFormat="1" x14ac:dyDescent="0.2">
      <c r="H23" s="132"/>
    </row>
    <row r="24" spans="1:8" s="28" customFormat="1" x14ac:dyDescent="0.2"/>
    <row r="25" spans="1:8" s="28" customFormat="1" hidden="1" x14ac:dyDescent="0.2"/>
    <row r="26" spans="1:8" s="28" customFormat="1" hidden="1" x14ac:dyDescent="0.2">
      <c r="H26" s="132"/>
    </row>
    <row r="27" spans="1:8" s="28" customFormat="1" hidden="1" x14ac:dyDescent="0.2">
      <c r="A27" s="28" t="str">
        <f>'Общие данные'!A171</f>
        <v>Buxoro filiali boshlig’i</v>
      </c>
      <c r="H27" s="28" t="str">
        <f>'Общие данные'!B171</f>
        <v>Ikromov B.A.</v>
      </c>
    </row>
    <row r="28" spans="1:8" s="28" customFormat="1" hidden="1" x14ac:dyDescent="0.2"/>
    <row r="29" spans="1:8" s="28" customFormat="1" x14ac:dyDescent="0.2"/>
    <row r="31" spans="1:8" x14ac:dyDescent="0.2">
      <c r="A31" s="28" t="s">
        <v>267</v>
      </c>
      <c r="H31" s="28" t="str">
        <f>'Общие данные'!B7</f>
        <v>ALLAMURODOV M.Y.</v>
      </c>
    </row>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00B050"/>
  </sheetPr>
  <dimension ref="A1:I35"/>
  <sheetViews>
    <sheetView view="pageBreakPreview" zoomScaleNormal="100" zoomScaleSheetLayoutView="100" workbookViewId="0">
      <selection activeCell="H23" sqref="H23"/>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9" width="9.140625" style="21" hidden="1" customWidth="1"/>
    <col min="10" max="10" width="9.140625" style="21" customWidth="1"/>
    <col min="11" max="11" width="0.5703125" style="21" customWidth="1"/>
    <col min="12" max="16384" width="9.140625" style="21"/>
  </cols>
  <sheetData>
    <row r="1" spans="1:9" x14ac:dyDescent="0.2">
      <c r="A1" s="28"/>
      <c r="B1" s="28"/>
      <c r="C1" s="28"/>
      <c r="D1" s="28"/>
      <c r="E1" s="28"/>
      <c r="F1" s="28"/>
      <c r="G1" s="28"/>
      <c r="H1" s="28"/>
      <c r="I1" s="28"/>
    </row>
    <row r="2" spans="1:9" x14ac:dyDescent="0.2">
      <c r="A2" s="402" t="str">
        <f>""&amp;" "&amp;'Общие данные'!B74&amp;"-sonli "&amp;" "&amp;'Общие данные'!C64&amp;" shartnomasi bo‘yicha
 garovga qo‘yilgan mol-mulkni tekshirish bo’yicha "&amp;'Общие данные'!B5&amp;" bilan tuzilgan dalolatnomasi"</f>
        <v xml:space="preserve"> 7 aprel 2026 y.dan № 323-BR-sonli  Mikroqarz shartnomasi bo‘yicha
 garovga qo‘yilgan mol-mulkni tekshirish bo’yicha ALLAMURODOV MUHAMMAD YOQUB O‘G‘LI bilan tuzilgan dalolatnomasi</v>
      </c>
      <c r="B2" s="402"/>
      <c r="C2" s="402"/>
      <c r="D2" s="402"/>
      <c r="E2" s="402"/>
      <c r="F2" s="402"/>
      <c r="G2" s="402"/>
      <c r="H2" s="402"/>
      <c r="I2" s="28"/>
    </row>
    <row r="3" spans="1:9" x14ac:dyDescent="0.2">
      <c r="A3" s="402"/>
      <c r="B3" s="402"/>
      <c r="C3" s="402"/>
      <c r="D3" s="402"/>
      <c r="E3" s="402"/>
      <c r="F3" s="402"/>
      <c r="G3" s="402"/>
      <c r="H3" s="402"/>
      <c r="I3" s="28"/>
    </row>
    <row r="5" spans="1:9" x14ac:dyDescent="0.2">
      <c r="A5" s="21" t="s">
        <v>195</v>
      </c>
      <c r="F5" s="144"/>
      <c r="H5" s="130" t="str">
        <f>TEXT('Общие данные'!D2,"ДД.ММ.ГГГГ")</f>
        <v>04.10.2026</v>
      </c>
    </row>
    <row r="7" spans="1:9" ht="45" customHeight="1" x14ac:dyDescent="0.2">
      <c r="A7" s="404" t="str">
        <f>"      Men, "&amp;'Общие данные'!B158&amp;" "&amp;'Общие данные'!A171&amp;" "&amp;'Общие данные'!B171&amp;", jismoniy shaxs "&amp;" "&amp;'Общие данные'!B5&amp;" "&amp;" "&amp;'Общие данные'!B74&amp;"-sonli "&amp;'Общие данные'!B65&amp;" shartnomasi bo‘yicha garovga qo‘yilgan mol-mulkni ko‘zdan kechirdim"</f>
        <v xml:space="preserve">      Men, «PULLOL BUSINESS MIKROMOLIYA TASHKILOTI»  MChJ Buxoro filiali boshlig’i Ikromov B.A., jismoniy shaxs  ALLAMURODOV MUHAMMAD YOQUB O‘G‘LI  7 aprel 2026 y.dan № 323-BR-sonli mikroqarz shartnomasi bo‘yicha garovga qo‘yilgan mol-mulkni ko‘zdan kechirdim</v>
      </c>
      <c r="B7" s="404"/>
      <c r="C7" s="404"/>
      <c r="D7" s="404"/>
      <c r="E7" s="404"/>
      <c r="F7" s="404"/>
      <c r="G7" s="404"/>
      <c r="H7" s="404"/>
    </row>
    <row r="8" spans="1:9" ht="19.5" customHeight="1" x14ac:dyDescent="0.2">
      <c r="A8" s="405" t="s">
        <v>264</v>
      </c>
      <c r="B8" s="405"/>
      <c r="C8" s="405"/>
      <c r="D8" s="405"/>
      <c r="E8" s="405"/>
      <c r="F8" s="405"/>
      <c r="G8" s="405"/>
      <c r="H8" s="405"/>
    </row>
    <row r="9" spans="1:9" s="131" customFormat="1" ht="32.25" customHeight="1" x14ac:dyDescent="0.25">
      <c r="A9" s="400" t="str">
        <f>'Акт согласования'!A20</f>
        <v>Nomi</v>
      </c>
      <c r="B9" s="401"/>
      <c r="C9" s="400" t="str">
        <f>'Акт согласования'!B20</f>
        <v>Kuzov turi  va kuzov raqami*</v>
      </c>
      <c r="D9" s="401"/>
      <c r="E9" s="400" t="str">
        <f>'Акт согласования'!D20</f>
        <v>Dvigatel va shassi raqami*</v>
      </c>
      <c r="F9" s="401"/>
      <c r="G9" s="400" t="str">
        <f>'Акт согласования'!E20</f>
        <v>Ishlab chiqarilgan yili va rangi**</v>
      </c>
      <c r="H9" s="401"/>
    </row>
    <row r="10" spans="1:9" s="129" customFormat="1" ht="58.5" customHeight="1" x14ac:dyDescent="0.2">
      <c r="A10" s="398" t="str">
        <f>'Акт согласования'!A21</f>
        <v>SPARK</v>
      </c>
      <c r="B10" s="398"/>
      <c r="C10" s="398" t="str">
        <f>'Акт согласования'!B21</f>
        <v>kuzov turi - YENGIL SEDAN, kuzov raqami XWBMF48NEJA525204</v>
      </c>
      <c r="D10" s="398"/>
      <c r="E10" s="398" t="str">
        <f>'Акт согласования'!D21</f>
        <v>dvigatel raqami B15D212181062B8JX0417, shassi raqami - RAKAMSIZ</v>
      </c>
      <c r="F10" s="398"/>
      <c r="G10" s="398" t="str">
        <f>'Акт согласования'!E21</f>
        <v>rangi -  OQ BELAYA, ishlab chiqarilgan yili - 2018</v>
      </c>
      <c r="H10" s="398"/>
    </row>
    <row r="11" spans="1:9" ht="19.5" customHeight="1" x14ac:dyDescent="0.2">
      <c r="A11" s="399" t="str">
        <f>'Акт согласования'!A22:E22</f>
        <v>-* avtotransport egasi: RO'ZIYEV ODILJON OLIMJONOVICH</v>
      </c>
      <c r="B11" s="399"/>
      <c r="C11" s="399"/>
      <c r="D11" s="399"/>
      <c r="E11" s="399"/>
      <c r="F11" s="399"/>
      <c r="G11" s="399"/>
      <c r="H11" s="399"/>
    </row>
    <row r="12" spans="1:9" ht="19.5" customHeight="1" x14ac:dyDescent="0.2">
      <c r="A12" s="399" t="str">
        <f>'Акт согласования'!A23:E23</f>
        <v>-* texnik pasport: AAG   2554881   10.10.2023 y</v>
      </c>
      <c r="B12" s="399"/>
      <c r="C12" s="399"/>
      <c r="D12" s="399"/>
      <c r="E12" s="399"/>
      <c r="F12" s="399"/>
      <c r="G12" s="399"/>
      <c r="H12" s="399"/>
    </row>
    <row r="13" spans="1:9" ht="19.5" customHeight="1" x14ac:dyDescent="0.2">
      <c r="A13" s="399" t="str">
        <f>'Акт согласования'!A24:E24</f>
        <v>-* roʻyxatdan oʻtgan manzili/garaj manzili: BUXORO VILOYATI OLOT TUMANI ASAJAM MFY ASAJAM</v>
      </c>
      <c r="B13" s="399"/>
      <c r="C13" s="399"/>
      <c r="D13" s="399"/>
      <c r="E13" s="399"/>
      <c r="F13" s="399"/>
      <c r="G13" s="399"/>
      <c r="H13" s="399"/>
    </row>
    <row r="14" spans="1:9" ht="19.5" customHeight="1" x14ac:dyDescent="0.2">
      <c r="A14" s="399" t="str">
        <f>'Акт согласования'!A25:E25</f>
        <v>-* davlat raqami: 80F845XA</v>
      </c>
      <c r="B14" s="399"/>
      <c r="C14" s="399"/>
      <c r="D14" s="399"/>
      <c r="E14" s="399"/>
      <c r="F14" s="399"/>
      <c r="G14" s="399"/>
      <c r="H14" s="399"/>
    </row>
    <row r="15" spans="1:9" ht="33.75" customHeight="1" x14ac:dyDescent="0.2">
      <c r="A15" s="403" t="str">
        <f>+"Shu bilan birga, yuqoridagi mulkning kelishilgan garov qiymati "&amp;'Акт согласования'!E30</f>
        <v>Shu bilan birga, yuqoridagi mulkning kelishilgan garov qiymati 49 000 000,00 
(qirq to'qqiz million so'm)</v>
      </c>
      <c r="B15" s="403"/>
      <c r="C15" s="403"/>
      <c r="D15" s="403"/>
      <c r="E15" s="403"/>
      <c r="F15" s="403"/>
      <c r="G15" s="403"/>
      <c r="H15" s="403"/>
    </row>
    <row r="17" spans="1:8" ht="27" customHeight="1" x14ac:dyDescent="0.2">
      <c r="A17" s="397" t="s">
        <v>265</v>
      </c>
      <c r="B17" s="397"/>
      <c r="C17" s="397"/>
      <c r="D17" s="397"/>
      <c r="E17" s="397"/>
      <c r="F17" s="397"/>
      <c r="G17" s="397"/>
      <c r="H17" s="397"/>
    </row>
    <row r="21" spans="1:8" s="28" customFormat="1" x14ac:dyDescent="0.2"/>
    <row r="22" spans="1:8" s="28" customFormat="1" x14ac:dyDescent="0.2">
      <c r="A22" s="28" t="str">
        <f>'Общие данные'!A171</f>
        <v>Buxoro filiali boshlig’i</v>
      </c>
      <c r="H22" s="132" t="str">
        <f>'Общие данные'!B171</f>
        <v>Ikromov B.A.</v>
      </c>
    </row>
    <row r="23" spans="1:8" s="28" customFormat="1" x14ac:dyDescent="0.2">
      <c r="H23" s="132"/>
    </row>
    <row r="24" spans="1:8" s="28" customForma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266</v>
      </c>
      <c r="H27" s="28" t="str">
        <f>'Общие данные'!B171</f>
        <v>Ikromov B.A.</v>
      </c>
    </row>
    <row r="28" spans="1:8" s="28" customFormat="1" ht="16.5" hidden="1" customHeight="1" x14ac:dyDescent="0.2"/>
    <row r="29" spans="1:8" s="28" customFormat="1" ht="16.5" customHeight="1" x14ac:dyDescent="0.2"/>
    <row r="30" spans="1:8" s="28" customFormat="1" x14ac:dyDescent="0.2"/>
    <row r="31" spans="1:8" s="28" customFormat="1" x14ac:dyDescent="0.2">
      <c r="A31" s="28" t="s">
        <v>267</v>
      </c>
      <c r="H31" s="132" t="str">
        <f>'Общие данные'!B7</f>
        <v>ALLAMURODOV M.Y.</v>
      </c>
    </row>
    <row r="32" spans="1:8" s="28" customFormat="1" x14ac:dyDescent="0.2"/>
    <row r="33" s="28" customFormat="1" x14ac:dyDescent="0.2"/>
    <row r="34" s="28" customFormat="1" x14ac:dyDescent="0.2"/>
    <row r="35" s="28" customFormat="1" x14ac:dyDescent="0.2"/>
  </sheetData>
  <mergeCells count="17">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00B050"/>
  </sheetPr>
  <dimension ref="A1:I34"/>
  <sheetViews>
    <sheetView view="pageBreakPreview" zoomScaleNormal="100" zoomScaleSheetLayoutView="100" workbookViewId="0">
      <selection activeCell="H23" sqref="H23"/>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402" t="str">
        <f>""&amp;" "&amp;'Общие данные'!B74&amp;"-sonli "&amp;" "&amp;'Общие данные'!C64&amp;" shartnomasi bo‘yicha
 garovga qo‘yilgan mol-mulkni tekshirish bo’yicha "&amp;'Общие данные'!B5&amp;" bilan tuzilgan dalolatnomasi"</f>
        <v xml:space="preserve"> 7 aprel 2026 y.dan № 323-BR-sonli  Mikroqarz shartnomasi bo‘yicha
 garovga qo‘yilgan mol-mulkni tekshirish bo’yicha ALLAMURODOV MUHAMMAD YOQUB O‘G‘LI bilan tuzilgan dalolatnomasi</v>
      </c>
      <c r="B2" s="402"/>
      <c r="C2" s="402"/>
      <c r="D2" s="402"/>
      <c r="E2" s="402"/>
      <c r="F2" s="402"/>
      <c r="G2" s="402"/>
      <c r="H2" s="402"/>
      <c r="I2" s="28"/>
    </row>
    <row r="3" spans="1:9" x14ac:dyDescent="0.2">
      <c r="A3" s="402"/>
      <c r="B3" s="402"/>
      <c r="C3" s="402"/>
      <c r="D3" s="402"/>
      <c r="E3" s="402"/>
      <c r="F3" s="402"/>
      <c r="G3" s="402"/>
      <c r="H3" s="402"/>
      <c r="I3" s="28"/>
    </row>
    <row r="5" spans="1:9" x14ac:dyDescent="0.2">
      <c r="A5" s="21" t="s">
        <v>195</v>
      </c>
      <c r="H5" s="130" t="str">
        <f>TEXT(+'Общие данные'!B2+540,"ДД.ММ.ГГГГ")</f>
        <v>29.09.2027</v>
      </c>
    </row>
    <row r="7" spans="1:9" ht="45" customHeight="1" x14ac:dyDescent="0.2">
      <c r="A7" s="404" t="str">
        <f>"      Men, "&amp;'Общие данные'!B158&amp;" "&amp;'Общие данные'!A171&amp;" "&amp;'Общие данные'!B171&amp;", jismoniy shaxs "&amp;" "&amp;'Общие данные'!B5&amp;" "&amp;" "&amp;'Общие данные'!B74&amp;"-sonli "&amp;'Общие данные'!C64&amp;" shartnomasi bo‘yicha garovga qo‘yilgan mol-mulkni ko‘zdan kechirdim"</f>
        <v xml:space="preserve">      Men, «PULLOL BUSINESS MIKROMOLIYA TASHKILOTI»  MChJ Buxoro filiali boshlig’i Ikromov B.A., jismoniy shaxs  ALLAMURODOV MUHAMMAD YOQUB O‘G‘LI  7 aprel 2026 y.dan № 323-BR-sonli Mikroqarz shartnomasi bo‘yicha garovga qo‘yilgan mol-mulkni ko‘zdan kechirdim</v>
      </c>
      <c r="B7" s="404"/>
      <c r="C7" s="404"/>
      <c r="D7" s="404"/>
      <c r="E7" s="404"/>
      <c r="F7" s="404"/>
      <c r="G7" s="404"/>
      <c r="H7" s="404"/>
    </row>
    <row r="8" spans="1:9" ht="19.5" customHeight="1" x14ac:dyDescent="0.2">
      <c r="A8" s="405" t="s">
        <v>264</v>
      </c>
      <c r="B8" s="405"/>
      <c r="C8" s="405"/>
      <c r="D8" s="405"/>
      <c r="E8" s="405"/>
      <c r="F8" s="405"/>
      <c r="G8" s="405"/>
      <c r="H8" s="405"/>
    </row>
    <row r="9" spans="1:9" s="131" customFormat="1" ht="32.25" customHeight="1" x14ac:dyDescent="0.25">
      <c r="A9" s="400" t="str">
        <f>' Акт мониторинга 2'!A9</f>
        <v>Nomi</v>
      </c>
      <c r="B9" s="401"/>
      <c r="C9" s="400" t="str">
        <f>' Акт мониторинга 2'!C9</f>
        <v>Kuzov turi  va kuzov raqami*</v>
      </c>
      <c r="D9" s="401"/>
      <c r="E9" s="400" t="str">
        <f>' Акт мониторинга 2'!E9</f>
        <v>Dvigatel va shassi raqami*</v>
      </c>
      <c r="F9" s="401"/>
      <c r="G9" s="400" t="str">
        <f>' Акт мониторинга 2'!G9</f>
        <v>Ishlab chiqarilgan yili va rangi**</v>
      </c>
      <c r="H9" s="401"/>
    </row>
    <row r="10" spans="1:9" s="129" customFormat="1" ht="58.5" customHeight="1" x14ac:dyDescent="0.2">
      <c r="A10" s="406" t="str">
        <f>' Акт мониторинга 2'!A10</f>
        <v>SPARK</v>
      </c>
      <c r="B10" s="407"/>
      <c r="C10" s="406" t="str">
        <f>' Акт мониторинга 2'!C10</f>
        <v>kuzov turi - YENGIL SEDAN, kuzov raqami XWBMF48NEJA525204</v>
      </c>
      <c r="D10" s="407"/>
      <c r="E10" s="406" t="str">
        <f>' Акт мониторинга 2'!E10</f>
        <v>dvigatel raqami B15D212181062B8JX0417, shassi raqami - RAKAMSIZ</v>
      </c>
      <c r="F10" s="407"/>
      <c r="G10" s="406" t="str">
        <f>' Акт мониторинга 2'!G10</f>
        <v>rangi -  OQ BELAYA, ishlab chiqarilgan yili - 2018</v>
      </c>
      <c r="H10" s="407"/>
    </row>
    <row r="11" spans="1:9" ht="19.5" customHeight="1" x14ac:dyDescent="0.2">
      <c r="A11" s="399" t="str">
        <f>'Акт согласования'!A22:E22</f>
        <v>-* avtotransport egasi: RO'ZIYEV ODILJON OLIMJONOVICH</v>
      </c>
      <c r="B11" s="399"/>
      <c r="C11" s="399"/>
      <c r="D11" s="399"/>
      <c r="E11" s="399"/>
      <c r="F11" s="399"/>
      <c r="G11" s="399"/>
      <c r="H11" s="399"/>
    </row>
    <row r="12" spans="1:9" ht="19.5" customHeight="1" x14ac:dyDescent="0.2">
      <c r="A12" s="399" t="str">
        <f>'Акт согласования'!A23:E23</f>
        <v>-* texnik pasport: AAG   2554881   10.10.2023 y</v>
      </c>
      <c r="B12" s="399"/>
      <c r="C12" s="399"/>
      <c r="D12" s="399"/>
      <c r="E12" s="399"/>
      <c r="F12" s="399"/>
      <c r="G12" s="399"/>
      <c r="H12" s="399"/>
    </row>
    <row r="13" spans="1:9" ht="19.5" customHeight="1" x14ac:dyDescent="0.2">
      <c r="A13" s="399" t="str">
        <f>'Акт согласования'!A24:E24</f>
        <v>-* roʻyxatdan oʻtgan manzili/garaj manzili: BUXORO VILOYATI OLOT TUMANI ASAJAM MFY ASAJAM</v>
      </c>
      <c r="B13" s="399"/>
      <c r="C13" s="399"/>
      <c r="D13" s="399"/>
      <c r="E13" s="399"/>
      <c r="F13" s="399"/>
      <c r="G13" s="399"/>
      <c r="H13" s="399"/>
    </row>
    <row r="14" spans="1:9" ht="19.5" customHeight="1" x14ac:dyDescent="0.2">
      <c r="A14" s="399" t="str">
        <f>'Акт согласования'!A25:E25</f>
        <v>-* davlat raqami: 80F845XA</v>
      </c>
      <c r="B14" s="399"/>
      <c r="C14" s="399"/>
      <c r="D14" s="399"/>
      <c r="E14" s="399"/>
      <c r="F14" s="399"/>
      <c r="G14" s="399"/>
      <c r="H14" s="399"/>
    </row>
    <row r="15" spans="1:9" ht="33.75" customHeight="1" x14ac:dyDescent="0.2">
      <c r="A15" s="403" t="str">
        <f>+"Shu bilan birga, yuqoridagi mulkning kelishilgan garov qiymati "&amp;'Акт согласования'!E30</f>
        <v>Shu bilan birga, yuqoridagi mulkning kelishilgan garov qiymati 49 000 000,00 
(qirq to'qqiz million so'm)</v>
      </c>
      <c r="B15" s="403"/>
      <c r="C15" s="403"/>
      <c r="D15" s="403"/>
      <c r="E15" s="403"/>
      <c r="F15" s="403"/>
      <c r="G15" s="403"/>
      <c r="H15" s="403"/>
    </row>
    <row r="17" spans="1:8" s="129" customFormat="1" ht="32.25" customHeight="1" x14ac:dyDescent="0.2">
      <c r="A17" s="397" t="s">
        <v>265</v>
      </c>
      <c r="B17" s="397"/>
      <c r="C17" s="397"/>
      <c r="D17" s="397"/>
      <c r="E17" s="397"/>
      <c r="F17" s="397"/>
      <c r="G17" s="397"/>
      <c r="H17" s="397"/>
    </row>
    <row r="21" spans="1:8" s="28" customFormat="1" x14ac:dyDescent="0.2"/>
    <row r="22" spans="1:8" s="28" customFormat="1" x14ac:dyDescent="0.2">
      <c r="A22" s="28" t="str">
        <f>'Общие данные'!A171</f>
        <v>Buxoro filiali boshlig’i</v>
      </c>
      <c r="H22" s="132" t="str">
        <f>'Общие данные'!B171</f>
        <v>Ikromov B.A.</v>
      </c>
    </row>
    <row r="23" spans="1:8" s="28" customFormat="1" x14ac:dyDescent="0.2">
      <c r="H23" s="132"/>
    </row>
    <row r="24" spans="1:8" s="28" customForma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266</v>
      </c>
      <c r="H27" s="28" t="str">
        <f>'Общие данные'!B171</f>
        <v>Ikromov B.A.</v>
      </c>
    </row>
    <row r="28" spans="1:8" s="28" customFormat="1" ht="16.5" hidden="1" customHeight="1" x14ac:dyDescent="0.2"/>
    <row r="29" spans="1:8" s="28" customFormat="1" ht="16.5" hidden="1" customHeight="1" x14ac:dyDescent="0.2"/>
    <row r="30" spans="1:8" s="28" customFormat="1" x14ac:dyDescent="0.2"/>
    <row r="31" spans="1:8" s="28" customFormat="1" x14ac:dyDescent="0.2">
      <c r="A31" s="28" t="s">
        <v>267</v>
      </c>
      <c r="H31" s="132" t="str">
        <f>'Общие данные'!B7</f>
        <v>ALLAMURODOV M.Y.</v>
      </c>
    </row>
    <row r="32" spans="1:8" s="28" customFormat="1" x14ac:dyDescent="0.2"/>
    <row r="33" s="28" customFormat="1" x14ac:dyDescent="0.2"/>
    <row r="34" s="28"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00B050"/>
  </sheetPr>
  <dimension ref="A1:I34"/>
  <sheetViews>
    <sheetView view="pageBreakPreview" zoomScaleNormal="100" zoomScaleSheetLayoutView="100" workbookViewId="0">
      <selection activeCell="H23" sqref="H23"/>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402" t="str">
        <f>""&amp;" "&amp;'Общие данные'!B74&amp;"-sonli "&amp;" "&amp;'Общие данные'!C64&amp;" shartnomasi bo‘yicha
 garovga qo‘yilgan mol-mulkni tekshirish bo’yicha "&amp;'Общие данные'!B5&amp;" bilan tuzilgan dalolatnomasi"</f>
        <v xml:space="preserve"> 7 aprel 2026 y.dan № 323-BR-sonli  Mikroqarz shartnomasi bo‘yicha
 garovga qo‘yilgan mol-mulkni tekshirish bo’yicha ALLAMURODOV MUHAMMAD YOQUB O‘G‘LI bilan tuzilgan dalolatnomasi</v>
      </c>
      <c r="B2" s="402"/>
      <c r="C2" s="402"/>
      <c r="D2" s="402"/>
      <c r="E2" s="402"/>
      <c r="F2" s="402"/>
      <c r="G2" s="402"/>
      <c r="H2" s="402"/>
      <c r="I2" s="28"/>
    </row>
    <row r="3" spans="1:9" x14ac:dyDescent="0.2">
      <c r="A3" s="402"/>
      <c r="B3" s="402"/>
      <c r="C3" s="402"/>
      <c r="D3" s="402"/>
      <c r="E3" s="402"/>
      <c r="F3" s="402"/>
      <c r="G3" s="402"/>
      <c r="H3" s="402"/>
      <c r="I3" s="28"/>
    </row>
    <row r="5" spans="1:9" x14ac:dyDescent="0.2">
      <c r="A5" s="21" t="s">
        <v>195</v>
      </c>
      <c r="H5" s="130" t="str">
        <f>TEXT(+'Общие данные'!B2+720,"ДД.ММ.ГГГГ")</f>
        <v>27.03.2028</v>
      </c>
    </row>
    <row r="7" spans="1:9" ht="45" customHeight="1" x14ac:dyDescent="0.2">
      <c r="A7" s="404" t="str">
        <f>"      Men, "&amp;'Общие данные'!B158&amp;" "&amp;'Общие данные'!A161&amp;" "&amp;'Общие данные'!B171&amp;", jismoniy shaxs "&amp;" "&amp;'Общие данные'!B5&amp;" "&amp;" "&amp;'Общие данные'!B74&amp;"-sonli "&amp;'Общие данные'!C64&amp;" shartnomasi bo‘yicha garovga qo‘yilgan mol-mulkni ko‘zdan kechirdim"</f>
        <v xml:space="preserve">      Men, «PULLOL BUSINESS MIKROMOLIYA TASHKILOTI»  MChJ Direktor v.v.b. Ikromov B.A., jismoniy shaxs  ALLAMURODOV MUHAMMAD YOQUB O‘G‘LI  7 aprel 2026 y.dan № 323-BR-sonli Mikroqarz shartnomasi bo‘yicha garovga qo‘yilgan mol-mulkni ko‘zdan kechirdim</v>
      </c>
      <c r="B7" s="404"/>
      <c r="C7" s="404"/>
      <c r="D7" s="404"/>
      <c r="E7" s="404"/>
      <c r="F7" s="404"/>
      <c r="G7" s="404"/>
      <c r="H7" s="404"/>
    </row>
    <row r="8" spans="1:9" ht="19.5" customHeight="1" x14ac:dyDescent="0.2">
      <c r="A8" s="405" t="s">
        <v>264</v>
      </c>
      <c r="B8" s="405"/>
      <c r="C8" s="405"/>
      <c r="D8" s="405"/>
      <c r="E8" s="405"/>
      <c r="F8" s="405"/>
      <c r="G8" s="405"/>
      <c r="H8" s="405"/>
    </row>
    <row r="9" spans="1:9" s="131" customFormat="1" ht="32.25" customHeight="1" x14ac:dyDescent="0.25">
      <c r="A9" s="400" t="str">
        <f>' Акт мониторинга 2'!A9</f>
        <v>Nomi</v>
      </c>
      <c r="B9" s="401"/>
      <c r="C9" s="400" t="str">
        <f>' Акт мониторинга 2'!C9</f>
        <v>Kuzov turi  va kuzov raqami*</v>
      </c>
      <c r="D9" s="401"/>
      <c r="E9" s="400" t="str">
        <f>' Акт мониторинга 2'!E9</f>
        <v>Dvigatel va shassi raqami*</v>
      </c>
      <c r="F9" s="401"/>
      <c r="G9" s="400" t="str">
        <f>' Акт мониторинга 2'!G9</f>
        <v>Ishlab chiqarilgan yili va rangi**</v>
      </c>
      <c r="H9" s="401"/>
    </row>
    <row r="10" spans="1:9" s="129" customFormat="1" ht="58.5" customHeight="1" x14ac:dyDescent="0.2">
      <c r="A10" s="398" t="str">
        <f>' Акт мониторинга 2'!A10</f>
        <v>SPARK</v>
      </c>
      <c r="B10" s="398"/>
      <c r="C10" s="398" t="str">
        <f>' Акт мониторинга 2'!C10</f>
        <v>kuzov turi - YENGIL SEDAN, kuzov raqami XWBMF48NEJA525204</v>
      </c>
      <c r="D10" s="398"/>
      <c r="E10" s="398" t="str">
        <f>' Акт мониторинга 2'!E10</f>
        <v>dvigatel raqami B15D212181062B8JX0417, shassi raqami - RAKAMSIZ</v>
      </c>
      <c r="F10" s="398"/>
      <c r="G10" s="398" t="str">
        <f>' Акт мониторинга 2'!G10</f>
        <v>rangi -  OQ BELAYA, ishlab chiqarilgan yili - 2018</v>
      </c>
      <c r="H10" s="398"/>
    </row>
    <row r="11" spans="1:9" ht="19.5" customHeight="1" x14ac:dyDescent="0.2">
      <c r="A11" s="399" t="str">
        <f>'Акт согласования'!A22:E22</f>
        <v>-* avtotransport egasi: RO'ZIYEV ODILJON OLIMJONOVICH</v>
      </c>
      <c r="B11" s="399"/>
      <c r="C11" s="399"/>
      <c r="D11" s="399"/>
      <c r="E11" s="399"/>
      <c r="F11" s="399"/>
      <c r="G11" s="399"/>
      <c r="H11" s="399"/>
    </row>
    <row r="12" spans="1:9" ht="19.5" customHeight="1" x14ac:dyDescent="0.2">
      <c r="A12" s="399" t="str">
        <f>'Акт согласования'!A23:E23</f>
        <v>-* texnik pasport: AAG   2554881   10.10.2023 y</v>
      </c>
      <c r="B12" s="399"/>
      <c r="C12" s="399"/>
      <c r="D12" s="399"/>
      <c r="E12" s="399"/>
      <c r="F12" s="399"/>
      <c r="G12" s="399"/>
      <c r="H12" s="399"/>
    </row>
    <row r="13" spans="1:9" ht="19.5" customHeight="1" x14ac:dyDescent="0.2">
      <c r="A13" s="399" t="str">
        <f>'Акт согласования'!A24:E24</f>
        <v>-* roʻyxatdan oʻtgan manzili/garaj manzili: BUXORO VILOYATI OLOT TUMANI ASAJAM MFY ASAJAM</v>
      </c>
      <c r="B13" s="399"/>
      <c r="C13" s="399"/>
      <c r="D13" s="399"/>
      <c r="E13" s="399"/>
      <c r="F13" s="399"/>
      <c r="G13" s="399"/>
      <c r="H13" s="399"/>
    </row>
    <row r="14" spans="1:9" ht="19.5" customHeight="1" x14ac:dyDescent="0.2">
      <c r="A14" s="399" t="str">
        <f>'Акт согласования'!A25:E25</f>
        <v>-* davlat raqami: 80F845XA</v>
      </c>
      <c r="B14" s="399"/>
      <c r="C14" s="399"/>
      <c r="D14" s="399"/>
      <c r="E14" s="399"/>
      <c r="F14" s="399"/>
      <c r="G14" s="399"/>
      <c r="H14" s="399"/>
    </row>
    <row r="15" spans="1:9" ht="33.75" customHeight="1" x14ac:dyDescent="0.2">
      <c r="A15" s="403" t="str">
        <f>+"Shu bilan birga, yuqoridagi mulkning kelishilgan garov qiymati "&amp;'Акт согласования'!E30</f>
        <v>Shu bilan birga, yuqoridagi mulkning kelishilgan garov qiymati 49 000 000,00 
(qirq to'qqiz million so'm)</v>
      </c>
      <c r="B15" s="403"/>
      <c r="C15" s="403"/>
      <c r="D15" s="403"/>
      <c r="E15" s="403"/>
      <c r="F15" s="403"/>
      <c r="G15" s="403"/>
      <c r="H15" s="403"/>
    </row>
    <row r="17" spans="1:8" ht="28.5" customHeight="1" x14ac:dyDescent="0.2">
      <c r="A17" s="397" t="s">
        <v>265</v>
      </c>
      <c r="B17" s="397"/>
      <c r="C17" s="397"/>
      <c r="D17" s="397"/>
      <c r="E17" s="397"/>
      <c r="F17" s="397"/>
      <c r="G17" s="397"/>
      <c r="H17" s="397"/>
    </row>
    <row r="21" spans="1:8" s="28" customFormat="1" x14ac:dyDescent="0.2"/>
    <row r="22" spans="1:8" s="28" customFormat="1" x14ac:dyDescent="0.2">
      <c r="A22" s="28" t="str">
        <f>'Общие данные'!A171</f>
        <v>Buxoro filiali boshlig’i</v>
      </c>
      <c r="H22" s="132" t="str">
        <f>'Общие данные'!B171</f>
        <v>Ikromov B.A.</v>
      </c>
    </row>
    <row r="23" spans="1:8" s="28" customFormat="1" x14ac:dyDescent="0.2">
      <c r="H23" s="132"/>
    </row>
    <row r="24" spans="1:8" s="28" customFormat="1" ht="13.5" hidden="1" customHeigh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266</v>
      </c>
      <c r="H27" s="28" t="str">
        <f>'Общие данные'!B171</f>
        <v>Ikromov B.A.</v>
      </c>
    </row>
    <row r="28" spans="1:8" s="28" customFormat="1" hidden="1" x14ac:dyDescent="0.2"/>
    <row r="29" spans="1:8" s="28" customFormat="1" x14ac:dyDescent="0.2"/>
    <row r="30" spans="1:8" s="28" customFormat="1" x14ac:dyDescent="0.2"/>
    <row r="31" spans="1:8" s="28" customFormat="1" x14ac:dyDescent="0.2">
      <c r="A31" s="28" t="s">
        <v>267</v>
      </c>
      <c r="H31" s="132" t="str">
        <f>'Общие данные'!B7</f>
        <v>ALLAMURODOV M.Y.</v>
      </c>
    </row>
    <row r="32" spans="1:8" s="28" customFormat="1" x14ac:dyDescent="0.2"/>
    <row r="33" s="28" customFormat="1" x14ac:dyDescent="0.2"/>
    <row r="34" s="28"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zoomScaleNormal="100" workbookViewId="0">
      <selection activeCell="A4" sqref="A4:I4"/>
    </sheetView>
  </sheetViews>
  <sheetFormatPr defaultRowHeight="15" x14ac:dyDescent="0.25"/>
  <sheetData>
    <row r="1" spans="1:9" ht="22.5" customHeight="1" x14ac:dyDescent="0.25">
      <c r="A1" s="409" t="s">
        <v>435</v>
      </c>
      <c r="B1" s="409"/>
      <c r="C1" s="409"/>
      <c r="D1" s="409"/>
      <c r="E1" s="409"/>
      <c r="F1" s="409"/>
      <c r="G1" s="409"/>
      <c r="H1" s="409"/>
      <c r="I1" s="409"/>
    </row>
    <row r="2" spans="1:9" ht="17.25" customHeight="1" x14ac:dyDescent="0.25">
      <c r="A2" s="409" t="s">
        <v>436</v>
      </c>
      <c r="B2" s="409"/>
      <c r="C2" s="409"/>
      <c r="D2" s="409"/>
      <c r="E2" s="409"/>
      <c r="F2" s="409"/>
      <c r="G2" s="409"/>
      <c r="H2" s="409"/>
      <c r="I2" s="409"/>
    </row>
    <row r="3" spans="1:9" ht="15.75" x14ac:dyDescent="0.25">
      <c r="A3" s="409"/>
      <c r="B3" s="409"/>
      <c r="C3" s="409"/>
      <c r="D3" s="409"/>
      <c r="E3" s="409"/>
      <c r="F3" s="409"/>
      <c r="G3" s="409"/>
      <c r="H3" s="409"/>
      <c r="I3" s="409"/>
    </row>
    <row r="4" spans="1:9" ht="80.25" customHeight="1" x14ac:dyDescent="0.25">
      <c r="A4" s="305" t="str">
        <f>"            Biz, «PULLOL BUSINESS MIKROMOLIYA TASHKILOTI» MCHJ xodimlari, ________________________ bilgan holda va qarz oluvchi   "&amp;'Общие данные'!B5&amp;",    "&amp;'Общие данные'!B74&amp;"-sonli "&amp;" "&amp;'Общие данные'!C64&amp;"   shartnomasiga   muvofiq O’zbekiston Respublikasi fuqarosiga berilgan "&amp;'Общие данные'!C64&amp;"  qarzlari bo’yicha ushbu dalolatnoma tuzildi. "</f>
        <v xml:space="preserve">            Biz, «PULLOL BUSINESS MIKROMOLIYA TASHKILOTI» MCHJ xodimlari, ________________________ bilgan holda va qarz oluvchi   ALLAMURODOV MUHAMMAD YOQUB O‘G‘LI,    7 aprel 2026 y.dan № 323-BR-sonli  Mikroqarz   shartnomasiga   muvofiq O’zbekiston Respublikasi fuqarosiga berilgan Mikroqarz  qarzlari bo’yicha ushbu dalolatnoma tuzildi. </v>
      </c>
      <c r="B4" s="305"/>
      <c r="C4" s="305"/>
      <c r="D4" s="305"/>
      <c r="E4" s="305"/>
      <c r="F4" s="305"/>
      <c r="G4" s="305"/>
      <c r="H4" s="305"/>
      <c r="I4" s="305"/>
    </row>
    <row r="5" spans="1:9" ht="48.75" customHeight="1" x14ac:dyDescent="0.25">
      <c r="A5" s="388" t="s">
        <v>437</v>
      </c>
      <c r="B5" s="388"/>
      <c r="C5" s="388"/>
      <c r="D5" s="388"/>
      <c r="E5" s="388"/>
      <c r="F5" s="388"/>
      <c r="G5" s="388"/>
      <c r="H5" s="388"/>
      <c r="I5" s="388"/>
    </row>
    <row r="6" spans="1:9" ht="15.75" x14ac:dyDescent="0.25">
      <c r="A6" s="264" t="s">
        <v>438</v>
      </c>
    </row>
    <row r="8" spans="1:9" ht="15.75" x14ac:dyDescent="0.25">
      <c r="A8" s="408" t="s">
        <v>439</v>
      </c>
      <c r="B8" s="408"/>
      <c r="C8" s="408"/>
      <c r="D8" s="408"/>
      <c r="E8" s="408"/>
      <c r="F8" s="408"/>
      <c r="G8" s="408"/>
      <c r="H8" s="408"/>
      <c r="I8" s="408"/>
    </row>
    <row r="10" spans="1:9" ht="15.75" x14ac:dyDescent="0.25">
      <c r="A10" s="408" t="s">
        <v>440</v>
      </c>
      <c r="B10" s="408"/>
      <c r="C10" s="408"/>
      <c r="D10" s="408"/>
      <c r="E10" s="408"/>
      <c r="F10" s="408"/>
      <c r="G10" s="408"/>
      <c r="H10" s="408"/>
      <c r="I10" s="408"/>
    </row>
    <row r="12" spans="1:9" ht="15.75" x14ac:dyDescent="0.25">
      <c r="A12" s="408" t="s">
        <v>441</v>
      </c>
      <c r="B12" s="408"/>
      <c r="C12" s="408"/>
      <c r="D12" s="408"/>
      <c r="E12" s="408"/>
      <c r="F12" s="408"/>
      <c r="G12" s="408"/>
      <c r="H12" s="408"/>
      <c r="I12" s="408"/>
    </row>
    <row r="14" spans="1:9" ht="15.75" x14ac:dyDescent="0.25">
      <c r="A14" s="408" t="s">
        <v>442</v>
      </c>
      <c r="B14" s="408"/>
      <c r="C14" s="408"/>
      <c r="D14" s="408"/>
      <c r="E14" s="408"/>
      <c r="F14" s="408"/>
      <c r="G14" s="408"/>
      <c r="H14" s="408"/>
      <c r="I14" s="408"/>
    </row>
    <row r="16" spans="1:9" ht="47.25" customHeight="1" x14ac:dyDescent="0.25">
      <c r="A16" s="412"/>
      <c r="B16" s="412"/>
      <c r="C16" s="412"/>
      <c r="D16" s="412"/>
    </row>
    <row r="17" spans="1:9" x14ac:dyDescent="0.25">
      <c r="F17" s="410"/>
      <c r="G17" s="410"/>
      <c r="H17" s="410"/>
      <c r="I17" s="410"/>
    </row>
    <row r="18" spans="1:9" ht="15.75" customHeight="1" x14ac:dyDescent="0.25">
      <c r="A18" s="412" t="s">
        <v>443</v>
      </c>
      <c r="B18" s="412"/>
      <c r="C18" s="412"/>
      <c r="D18" s="412"/>
      <c r="F18" s="413" t="s">
        <v>444</v>
      </c>
      <c r="G18" s="413"/>
      <c r="H18" s="413"/>
      <c r="I18" s="413"/>
    </row>
    <row r="19" spans="1:9" ht="15" customHeight="1" x14ac:dyDescent="0.25">
      <c r="A19" s="412"/>
      <c r="B19" s="412"/>
      <c r="C19" s="412"/>
      <c r="D19" s="412"/>
    </row>
    <row r="21" spans="1:9" x14ac:dyDescent="0.25">
      <c r="A21" s="410"/>
      <c r="B21" s="410"/>
      <c r="C21" s="410"/>
      <c r="G21" s="410"/>
      <c r="H21" s="410"/>
    </row>
    <row r="23" spans="1:9" ht="51.75" customHeight="1" x14ac:dyDescent="0.25">
      <c r="F23" s="411" t="s">
        <v>445</v>
      </c>
      <c r="G23" s="411"/>
      <c r="H23" s="411"/>
      <c r="I23" s="411"/>
    </row>
  </sheetData>
  <mergeCells count="16">
    <mergeCell ref="A21:C21"/>
    <mergeCell ref="G21:H21"/>
    <mergeCell ref="F23:I23"/>
    <mergeCell ref="A10:I10"/>
    <mergeCell ref="A12:I12"/>
    <mergeCell ref="A14:I14"/>
    <mergeCell ref="A16:D16"/>
    <mergeCell ref="F17:I17"/>
    <mergeCell ref="A18:D19"/>
    <mergeCell ref="F18:I18"/>
    <mergeCell ref="A8:I8"/>
    <mergeCell ref="A1:I1"/>
    <mergeCell ref="A2:I2"/>
    <mergeCell ref="A3:I3"/>
    <mergeCell ref="A4:I4"/>
    <mergeCell ref="A5:I5"/>
  </mergeCells>
  <pageMargins left="0.9055118110236221" right="0.51181102362204722" top="0.74803149606299213" bottom="0.74803149606299213" header="0.31496062992125984" footer="0.31496062992125984"/>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29"/>
  <sheetViews>
    <sheetView view="pageBreakPreview" zoomScaleNormal="100" zoomScaleSheetLayoutView="100" workbookViewId="0">
      <selection activeCell="A9" sqref="A9:D9"/>
    </sheetView>
  </sheetViews>
  <sheetFormatPr defaultColWidth="16.85546875" defaultRowHeight="15" x14ac:dyDescent="0.25"/>
  <cols>
    <col min="1" max="1" width="16" style="13" customWidth="1"/>
    <col min="2" max="2" width="21.140625" style="13" customWidth="1"/>
    <col min="3" max="3" width="23.85546875" style="13" customWidth="1"/>
    <col min="4" max="4" width="26" style="13" customWidth="1"/>
    <col min="5" max="16384" width="16.85546875" style="13"/>
  </cols>
  <sheetData>
    <row r="1" spans="1:4" x14ac:dyDescent="0.25">
      <c r="B1" s="229" t="s">
        <v>384</v>
      </c>
    </row>
    <row r="2" spans="1:4" x14ac:dyDescent="0.25">
      <c r="B2" s="230" t="s">
        <v>385</v>
      </c>
      <c r="C2" s="226"/>
      <c r="D2" s="226"/>
    </row>
    <row r="3" spans="1:4" x14ac:dyDescent="0.25">
      <c r="B3" s="230" t="s">
        <v>386</v>
      </c>
      <c r="C3" s="226"/>
      <c r="D3" s="226"/>
    </row>
    <row r="4" spans="1:4" x14ac:dyDescent="0.25">
      <c r="B4" s="230" t="s">
        <v>387</v>
      </c>
      <c r="C4" s="226"/>
      <c r="D4" s="226"/>
    </row>
    <row r="6" spans="1:4" x14ac:dyDescent="0.25">
      <c r="A6" s="32" t="str">
        <f>[4]malumot!B109</f>
        <v>05.04.2025 yildagi</v>
      </c>
      <c r="D6" s="34" t="s">
        <v>388</v>
      </c>
    </row>
    <row r="7" spans="1:4" x14ac:dyDescent="0.25">
      <c r="A7" s="13" t="str">
        <f>[4]malumot!B110</f>
        <v>№ 02/04-001</v>
      </c>
      <c r="D7" s="34" t="s">
        <v>389</v>
      </c>
    </row>
    <row r="9" spans="1:4" x14ac:dyDescent="0.25">
      <c r="A9" s="268" t="str">
        <f>"      “CLEVER mikromoliya tashkiloti” MCHJ va " &amp; [4]malumot!B5 &amp; " (pasport: " &amp;[4]malumot!B16 &amp; ", " &amp;[4]malumot!B20 &amp;")" &amp; " o‘rtasida " &amp;[4]malumot!B2 &amp; " yildagi " &amp;[4]malumot!B1 &amp; "-sonli" &amp; [4]notarius!B78 &amp; ", "&amp; [4]malumot!B75 &amp; " (" &amp;[4]malumot!B76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68"/>
      <c r="C9" s="268"/>
      <c r="D9" s="268"/>
    </row>
    <row r="11" spans="1:4" ht="28.5" x14ac:dyDescent="0.25">
      <c r="A11" s="36" t="s">
        <v>198</v>
      </c>
      <c r="B11" s="36" t="str">
        <f>IF([4]malumot!B111=[4]malumot!C111,"Kuzov turi  va kuzov raqami*","Foydali maydoni")</f>
        <v>Kuzov turi  va kuzov raqami*</v>
      </c>
      <c r="C11" s="36" t="str">
        <f>IF([4]malumot!B111=[4]malumot!C111,"Dvigatel va shassi raqami*","Yashash maydoni")</f>
        <v>Dvigatel va shassi raqami*</v>
      </c>
      <c r="D11" s="36" t="str">
        <f>IF([4]malumot!B111=[4]malumot!C111,"Ishlab chiqarilgan yili va rangi**","Umumiy maydoni")</f>
        <v>Ishlab chiqarilgan yili va rangi**</v>
      </c>
    </row>
    <row r="12" spans="1:4" ht="60" x14ac:dyDescent="0.25">
      <c r="A12" s="15" t="str">
        <f>IF([4]malumot!B111=[4]malumot!C111,[4]malumot!B133,[4]malumot!C133)</f>
        <v>SPARK</v>
      </c>
      <c r="B12" s="15" t="str">
        <f>IF([4]malumot!B111=[4]malumot!C111,[4]malumot!B135,CONCATENATE([4]malumot!F138," ","kv.m"))</f>
        <v>kuzov turi - YENGIL SEDAN, kuzov raqami XWBMF481EBA580791</v>
      </c>
      <c r="C12" s="15" t="str">
        <f>IF([4]malumot!B111=[4]malumot!C111,[4]malumot!B138,[4]malumot!E141)</f>
        <v>dvigatel raqami B10D1606437KC3, shassi raqami - RAKAMSIZ</v>
      </c>
      <c r="D12" s="15" t="str">
        <f>IF([4]malumot!B111=[4]malumot!C111,[4]malumot!B141,[4]malumot!E138)</f>
        <v>rangi -  OQ BELAYA "KASABLANKA", ishlab chiqarilgan yili - 2011</v>
      </c>
    </row>
    <row r="13" spans="1:4" x14ac:dyDescent="0.25">
      <c r="A13" s="414" t="str">
        <f>"-* "&amp;IF([4]malumot!B111=[4]malumot!C111,"avtotransport "&amp;"egasi: "&amp;[4]malumot!B125&amp;"","ko'chmas mulk"&amp;" egasi: "&amp;[4]malumot!B125&amp;"")</f>
        <v>-* avtotransport egasi: FAYZIYEV JAMSHID KURBONOVICH</v>
      </c>
      <c r="B13" s="414"/>
      <c r="C13" s="414"/>
      <c r="D13" s="414"/>
    </row>
    <row r="14" spans="1:4" x14ac:dyDescent="0.25">
      <c r="A14" s="415" t="str">
        <f>IF([4]malumot!B111=[4]malumot!C111,"-* texnik pasport: "&amp;[4]malumot!B132&amp;"","-* reest raqami: "&amp;[4]malumot!C132&amp;"")</f>
        <v>-* texnik pasport: AAG   4517617  20.08.2024y</v>
      </c>
      <c r="B14" s="415"/>
      <c r="C14" s="415"/>
      <c r="D14" s="415"/>
    </row>
    <row r="15" spans="1:4" x14ac:dyDescent="0.25">
      <c r="A15" s="415" t="str">
        <f>IF([4]malumot!B111=[4]malumot!C111,"-* davlat raqami: "&amp;[4]malumot!B134&amp;"","-* manzili: "&amp;[4]malumot!C131&amp;"")</f>
        <v>-* davlat raqami: 80Y320AB</v>
      </c>
      <c r="B15" s="415"/>
      <c r="C15" s="415"/>
      <c r="D15" s="415"/>
    </row>
    <row r="16" spans="1:4" x14ac:dyDescent="0.25">
      <c r="A16" s="151" t="str">
        <f>"-* garov shartnomasi bo'yicha (reestr № " &amp;[4]malumot!B106&amp; " , " &amp;[4]malumot!B107&amp; " yil)"</f>
        <v>-* garov shartnomasi bo'yicha (reestr № 202502386001856 , 01.04.2025 yil)</v>
      </c>
      <c r="B16" s="39"/>
      <c r="C16" s="39"/>
      <c r="D16" s="39"/>
    </row>
    <row r="17" spans="1:4" x14ac:dyDescent="0.25">
      <c r="A17" s="39"/>
      <c r="B17" s="39"/>
      <c r="C17" s="39"/>
      <c r="D17" s="39"/>
    </row>
    <row r="18" spans="1:4" x14ac:dyDescent="0.25">
      <c r="A18" s="268" t="s">
        <v>390</v>
      </c>
      <c r="B18" s="268"/>
      <c r="C18" s="268"/>
      <c r="D18" s="268"/>
    </row>
    <row r="20" spans="1:4" x14ac:dyDescent="0.25">
      <c r="C20" s="227"/>
    </row>
    <row r="21" spans="1:4" x14ac:dyDescent="0.25">
      <c r="A21" s="228" t="s">
        <v>391</v>
      </c>
    </row>
    <row r="22" spans="1:4" x14ac:dyDescent="0.25">
      <c r="A22" s="228" t="s">
        <v>392</v>
      </c>
      <c r="D22" s="37" t="s">
        <v>378</v>
      </c>
    </row>
    <row r="26" spans="1:4" x14ac:dyDescent="0.25">
      <c r="A26" s="13" t="s">
        <v>393</v>
      </c>
    </row>
    <row r="27" spans="1:4" ht="16.5" customHeight="1" x14ac:dyDescent="0.25">
      <c r="A27" s="13" t="s">
        <v>394</v>
      </c>
    </row>
    <row r="29" spans="1:4" ht="48" customHeight="1" x14ac:dyDescent="0.25">
      <c r="A29" s="268" t="s">
        <v>395</v>
      </c>
      <c r="B29" s="268"/>
      <c r="C29" s="268"/>
      <c r="D29" s="268"/>
    </row>
  </sheetData>
  <mergeCells count="6">
    <mergeCell ref="A29:D29"/>
    <mergeCell ref="A9:D9"/>
    <mergeCell ref="A13:D13"/>
    <mergeCell ref="A14:D14"/>
    <mergeCell ref="A15:D15"/>
    <mergeCell ref="A18:D18"/>
  </mergeCells>
  <printOptions horizontalCentered="1"/>
  <pageMargins left="0.70866141732283472" right="0.70866141732283472" top="0.74803149606299213" bottom="0.74803149606299213" header="0.31496062992125984" footer="0.31496062992125984"/>
  <pageSetup paperSize="9" scale="8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25</vt:i4>
      </vt:variant>
      <vt:variant>
        <vt:lpstr>Именованные диапазоны</vt:lpstr>
      </vt:variant>
      <vt:variant>
        <vt:i4>18</vt:i4>
      </vt:variant>
    </vt:vector>
  </HeadingPairs>
  <TitlesOfParts>
    <vt:vector size="43" baseType="lpstr">
      <vt:lpstr>Протокол  (2)</vt:lpstr>
      <vt:lpstr>Общие данные</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График дифференц</vt:lpstr>
      <vt:lpstr>Данные для послед. Залога</vt:lpstr>
      <vt:lpstr>График аннуитет.</vt:lpstr>
      <vt:lpstr>обложка</vt:lpstr>
      <vt:lpstr>Ариза Сугурта</vt:lpstr>
      <vt:lpstr>ariza HR</vt:lpstr>
      <vt:lpstr>Письмо</vt:lpstr>
      <vt:lpstr> Акт мониторинга 1</vt:lpstr>
      <vt:lpstr> Акт мониторинга 2</vt:lpstr>
      <vt:lpstr> Акт мониторинга 3</vt:lpstr>
      <vt:lpstr> Акт мониторинга 4</vt:lpstr>
      <vt:lpstr>Акт сверки</vt:lpstr>
      <vt:lpstr>notarius</vt:lpstr>
      <vt:lpstr>' Акт мониторинга 1'!Область_печати</vt:lpstr>
      <vt:lpstr>' Акт мониторинга 2'!Область_печати</vt:lpstr>
      <vt:lpstr>' Акт мониторинга 3'!Область_печати</vt:lpstr>
      <vt:lpstr>' Акт мониторинга 4'!Область_печати</vt:lpstr>
      <vt:lpstr>'ariza HR'!Область_печати</vt:lpstr>
      <vt:lpstr>notarius!Область_печати</vt:lpstr>
      <vt:lpstr>'Акт согласования'!Область_печати</vt:lpstr>
      <vt:lpstr>'Анкета Клиента'!Область_печати</vt:lpstr>
      <vt:lpstr>'Ариза Сугурта'!Область_печати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'Приказ на сделку'!Область_печати</vt:lpstr>
      <vt:lpstr>'Протокол  (2)'!Область_печати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m.taylakov</cp:lastModifiedBy>
  <cp:lastPrinted>2026-03-23T04:38:41Z</cp:lastPrinted>
  <dcterms:created xsi:type="dcterms:W3CDTF">2015-06-05T18:19:34Z</dcterms:created>
  <dcterms:modified xsi:type="dcterms:W3CDTF">2026-04-07T10:45:27Z</dcterms:modified>
</cp:coreProperties>
</file>